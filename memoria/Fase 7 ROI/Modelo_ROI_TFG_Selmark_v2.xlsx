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Portada" sheetId="1" state="visible" r:id="rId3"/>
    <sheet name="2_Metodologia" sheetId="2" state="visible" r:id="rId4"/>
    <sheet name="3_Parametros" sheetId="3" state="visible" r:id="rId5"/>
    <sheet name="4_DO_Nothing" sheetId="4" state="visible" r:id="rId6"/>
    <sheet name="5_DS_Opcion_1" sheetId="5" state="visible" r:id="rId7"/>
    <sheet name="6_DS_Opcion_2" sheetId="6" state="visible" r:id="rId8"/>
    <sheet name="7_Palancas" sheetId="7" state="visible" r:id="rId9"/>
    <sheet name="8_Sensibilidad" sheetId="8" state="visible" r:id="rId10"/>
    <sheet name="9_Sintesi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<sst xmlns="http://schemas.openxmlformats.org/spreadsheetml/2006/main" count="441" uniqueCount="369">
  <si>
    <t xml:space="preserve">Modelo de retorno económico</t>
  </si>
  <si>
    <t xml:space="preserve">del plan comercial propuesto</t>
  </si>
  <si>
    <t xml:space="preserve">Caso de estudio: Selmark S.L.U.</t>
  </si>
  <si>
    <t xml:space="preserve">Ficha del documento</t>
  </si>
  <si>
    <t xml:space="preserve">Documento</t>
  </si>
  <si>
    <t xml:space="preserve">Modelo financiero de ROI · Capítulo 8 del TFG</t>
  </si>
  <si>
    <t xml:space="preserve">Trabajo de Fin de Grado</t>
  </si>
  <si>
    <t xml:space="preserve">Análisis de cliente y geomarketing en moda íntima</t>
  </si>
  <si>
    <t xml:space="preserve">Universidad</t>
  </si>
  <si>
    <t xml:space="preserve">Alfonso X El Sabio · Escuela Business &amp; Tech</t>
  </si>
  <si>
    <t xml:space="preserve">Grado</t>
  </si>
  <si>
    <t xml:space="preserve">Ingeniería Matemática</t>
  </si>
  <si>
    <t xml:space="preserve">Tutor académico</t>
  </si>
  <si>
    <t xml:space="preserve">Diego Pedregal · Co-tutora: Laura Martín</t>
  </si>
  <si>
    <t xml:space="preserve">Tutor empresa</t>
  </si>
  <si>
    <t xml:space="preserve">Manuel Cobas y Manuel Ojeda (Selmark)</t>
  </si>
  <si>
    <t xml:space="preserve">Marco metodológico</t>
  </si>
  <si>
    <t xml:space="preserve">DO NOTHING vs DO SOMETHING</t>
  </si>
  <si>
    <t xml:space="preserve">Notebook técnico asociado</t>
  </si>
  <si>
    <t xml:space="preserve">14_recomendaciones_roi.ipynb</t>
  </si>
  <si>
    <t xml:space="preserve">Fecha del modelo</t>
  </si>
  <si>
    <t xml:space="preserve">Mayo de 2026</t>
  </si>
  <si>
    <t xml:space="preserve">Versión</t>
  </si>
  <si>
    <t xml:space="preserve">1.0</t>
  </si>
  <si>
    <t xml:space="preserve">Resumen ejecutivo</t>
  </si>
  <si>
    <t xml:space="preserve">Este modelo financiero cuantifica el retorno económico esperable de un plan comercial sustentado en los modelos analíticos desarrollados a lo largo del TFG: segmentación K-Means (Cap. 5), geomarketing (Cap. 6) y modelo predictivo de churn LightGBM (Cap. 7). Aplica el marco metodológico DO NOTHING vs DO SOMETHING y evalúa cuatro palancas comerciales accionables sobre el horizonte 2026, contrastando dos sub-escenarios: incremento exclusivo de volumen e incremento de volumen con reenfoque comercial. El modelo entrega un ROI agregado en el rango defendible 22-27% anual y desglosa el aporte económico individual de cada palanca. Incluye análisis de sensibilidad univariante y bivariante sobre los parámetros más críticos.</t>
  </si>
  <si>
    <t xml:space="preserve">Resultados principales</t>
  </si>
  <si>
    <t xml:space="preserve">Indicador</t>
  </si>
  <si>
    <t xml:space="preserve">Valor</t>
  </si>
  <si>
    <t xml:space="preserve">Escenario DO NOTHING — Ingresos esperados 2026</t>
  </si>
  <si>
    <t xml:space="preserve">37,25 M€</t>
  </si>
  <si>
    <t xml:space="preserve">DO SOMETHING · Opción 1 (incremento de volumen)</t>
  </si>
  <si>
    <t xml:space="preserve">ROI 22,18 %</t>
  </si>
  <si>
    <t xml:space="preserve">DO SOMETHING · Opción 2 (volumen + reenfoque)</t>
  </si>
  <si>
    <t xml:space="preserve">ROI 27,40 %</t>
  </si>
  <si>
    <t xml:space="preserve">Ingresos incrementales del caso base</t>
  </si>
  <si>
    <t xml:space="preserve">588.891 €</t>
  </si>
  <si>
    <t xml:space="preserve">Costes totales anuales del plan</t>
  </si>
  <si>
    <t xml:space="preserve">482.000 €</t>
  </si>
  <si>
    <t xml:space="preserve">Aporte económico atribuible al modelo de clustering</t>
  </si>
  <si>
    <t xml:space="preserve">+5 puntos de ROI</t>
  </si>
  <si>
    <t xml:space="preserve">Estructura del documento</t>
  </si>
  <si>
    <t xml:space="preserve">Hoja</t>
  </si>
  <si>
    <t xml:space="preserve">Contenido</t>
  </si>
  <si>
    <t xml:space="preserve">2_Metodologia</t>
  </si>
  <si>
    <t xml:space="preserve">Memoria técnica del modelo: marco DN/DS, definición de palancas, fórmulas y trazabilidad a fuentes</t>
  </si>
  <si>
    <t xml:space="preserve">3_Parametros</t>
  </si>
  <si>
    <t xml:space="preserve">Tabla unificada de inputs editables (cartera, palancas, costes)</t>
  </si>
  <si>
    <t xml:space="preserve">4_DO_Nothing</t>
  </si>
  <si>
    <t xml:space="preserve">Estimación del escenario base sin intervención comercial</t>
  </si>
  <si>
    <t xml:space="preserve">5_DS_Opcion_1</t>
  </si>
  <si>
    <t xml:space="preserve">Cálculo del escenario con incremento de volumen y ticket constante</t>
  </si>
  <si>
    <t xml:space="preserve">6_DS_Opcion_2</t>
  </si>
  <si>
    <t xml:space="preserve">Cálculo del escenario con volumen + reenfoque comercial (uplift de ticket)</t>
  </si>
  <si>
    <t xml:space="preserve">7_Palancas</t>
  </si>
  <si>
    <t xml:space="preserve">Desglose individualizado de las cuatro palancas con asignación de costes</t>
  </si>
  <si>
    <t xml:space="preserve">8_Sensibilidad</t>
  </si>
  <si>
    <t xml:space="preserve">Análisis paramétrico univariante y bivariante (heatmap)</t>
  </si>
  <si>
    <t xml:space="preserve">9_Sintesis</t>
  </si>
  <si>
    <t xml:space="preserve">Resultados consolidados, conclusiones cuantitativas y limitaciones del modelo</t>
  </si>
  <si>
    <t xml:space="preserve">Modelo de ROI · Capítulo 8 · TFG Selmark S.L.U.</t>
  </si>
  <si>
    <t xml:space="preserve">Universidad Alfonso X El Sabio · Mayo 2026</t>
  </si>
  <si>
    <t xml:space="preserve">Memoria técnica del modelo</t>
  </si>
  <si>
    <t xml:space="preserve">Trazabilidad metodológica de cada componente del cálculo</t>
  </si>
  <si>
    <t xml:space="preserve">  1. Marco metodológico DO NOTHING vs DO SOMETHING</t>
  </si>
  <si>
    <t xml:space="preserve">El modelo adopta el marco DO NOTHING vs DO SOMETHING (DN/DS) propuesto por el tutor académico en la sesión del 26 de mayo de 2026. El marco fuerza la comparación entre dos formas alternativas en las que puede transcurrir el ejercicio 2026 y establece que el retorno de cualquier acción comercial debe medirse sobre el contrafactual de no intervenir.</t>
  </si>
  <si>
    <t xml:space="preserve">El escenario DO NOTHING proyecta los ingresos manteniendo la operativa actual sin inversión en plan comercial analítico. Se estima en 37,25 M€ como suma del forecast retail SARIMA del Capítulo 4 bis y la proyección B2B inercial sobre la media del cuatrienio 2022-2025.</t>
  </si>
  <si>
    <t xml:space="preserve">El escenario DO SOMETHING activa el plan comercial sustentado en los modelos analíticos del TFG y se desdobla en dos sub-opciones complementarias: Opción 1 incrementa exclusivamente el volumen de clientes manteniendo el ticket medio constante; Opción 2 añade el efecto multiplicador del reenfoque de ofertas hacia los clusters de mayor ticket, modelizado como un uplift del +8% aplicado a las palancas con componente de captación o conversión (P3 y P4).</t>
  </si>
  <si>
    <t xml:space="preserve">  1.1 Definición formal de los escenarios</t>
  </si>
  <si>
    <t xml:space="preserve">Escenario</t>
  </si>
  <si>
    <t xml:space="preserve">Definición operativa</t>
  </si>
  <si>
    <t xml:space="preserve">Componente principal</t>
  </si>
  <si>
    <t xml:space="preserve">DO NOTHING</t>
  </si>
  <si>
    <t xml:space="preserve">Operativa inercial sin inversión en plan comercial analítico</t>
  </si>
  <si>
    <t xml:space="preserve">Forecast retail SARIMA + proyección B2B histórica</t>
  </si>
  <si>
    <t xml:space="preserve">DO SOMETHING · Opción 1</t>
  </si>
  <si>
    <t xml:space="preserve">Activación del plan comercial con incremento de volumen y ticket constante</t>
  </si>
  <si>
    <t xml:space="preserve">Captación y retención a ticket medio inalterado</t>
  </si>
  <si>
    <t xml:space="preserve">DO SOMETHING · Opción 2</t>
  </si>
  <si>
    <t xml:space="preserve">Activación del plan con incremento de volumen y reenfoque hacia clusters de mayor ticket</t>
  </si>
  <si>
    <t xml:space="preserve">Captación y retención + uplift de ticket por segmentación (+8%)</t>
  </si>
  <si>
    <t xml:space="preserve">  2. Definición del retorno de la inversión (ROI)</t>
  </si>
  <si>
    <t xml:space="preserve">El retorno de la inversión se define formalmente como el cociente entre el beneficio neto del plan comercial y la inversión requerida para su ejecución. La fórmula aplicada es:</t>
  </si>
  <si>
    <t xml:space="preserve">          ROI  =  ( Ingresos incrementales  −  Costes totales )  /  Costes totales</t>
  </si>
  <si>
    <t xml:space="preserve">donde los ingresos incrementales se obtienen como la diferencia entre los ingresos del escenario DO SOMETHING y los del escenario DO NOTHING (es decir, exclusivamente la facturación generada por encima del contrafactual de no actuar). Esta especificación es estándar en evaluación de proyectos de marketing y de iniciativas de transformación digital.</t>
  </si>
  <si>
    <t xml:space="preserve">El rango defendible adoptado para el ROI anual es 15-25%, conforme a la recomendación expresa del tutor académico y al consenso de la literatura sectorial sobre proyectos de analítica en retail (McKinsey, BCG, Gartner). ROIs por encima del 30% requieren justificación analítica adicional; por debajo del 15% el proyecto no compensa la inversión.</t>
  </si>
  <si>
    <t xml:space="preserve">  3. Definición operativa de las cuatro palancas comerciales</t>
  </si>
  <si>
    <t xml:space="preserve">El plan se articula en cuatro palancas independientes. Cada palanca tiene origen en un hallazgo cuantificado en los capítulos analíticos previos del TFG, lo que garantiza su trazabilidad metodológica. Las tasas de éxito asumidas se calibran con benchmarks sectoriales habituales en marketing B2B.</t>
  </si>
  <si>
    <t xml:space="preserve">Palanca</t>
  </si>
  <si>
    <t xml:space="preserve">P1 — Retención Núcleo Estratégico (C1)</t>
  </si>
  <si>
    <t xml:space="preserve">Identificación y campaña de retención dirigida a los 17 clientes del cluster Núcleo Estratégico que el modelo predictivo del Capítulo 7 sitúa en el TOP 100 de probabilidad de abandono. Acción operativa: gestor de Customer Success dedicado, condiciones especiales, samples premium. Tasa de éxito asumida: 30% (benchmark estándar de retención B2B con CSM).</t>
  </si>
  <si>
    <t xml:space="preserve">Capítulo 7 §10.1</t>
  </si>
  <si>
    <t xml:space="preserve">P2 — Retención Grandes Cuentas Internacionales (C2)</t>
  </si>
  <si>
    <t xml:space="preserve">Misma lógica que P1 aplicada a los 9 clientes del cluster Grandes Cuentas Internacionales en el TOP 100 churn. Incluye el caso 7590 (Las Palmas, 95.646 € histórico, 52,6% probabilidad de churn) identificado en el Cap. 7 como caso de máxima prioridad. La acción requiere visitas comerciales presenciales y atención individualizada por el ticket medio elevado del cluster (70.640 €/año). Tasa de éxito: 30%.</t>
  </si>
  <si>
    <t xml:space="preserve">Capítulo 7 §10.1-10.2</t>
  </si>
  <si>
    <t xml:space="preserve">P3 — Captación de huecos territoriales en Madrid</t>
  </si>
  <si>
    <t xml:space="preserve">Activación de un comercial dedicado a captar 127 clientes de perfil Núcleo en Madrid, identificados en el Capítulo 6 como hueco territorial nacional (0,97 clientes Núcleo / 100K hab. frente a la mediana nacional de 2,23). Acción operativa: campañas geolocalizadas, samples de captación. Tasa de éxito asumida: 8% (acquisition rate típico en B2B en frío, año 1).</t>
  </si>
  <si>
    <t xml:space="preserve">Capítulo 6 §7</t>
  </si>
  <si>
    <t xml:space="preserve">P4 — Conversión C4→C1 en cantera italiana</t>
  </si>
  <si>
    <t xml:space="preserve">Activación de un partner comercial local italiano para trabajar la conversión de los 271 Compradores Estacionales (cluster C4) del mercado italiano hacia el cluster Núcleo Estratégico (C1). El diferencial de ticket es 16.380 − 2.708 = 13.672 €/cliente convertido. Tasa de éxito asumida: 4% (upgrade rate conservador sobre cluster de origen).</t>
  </si>
  <si>
    <t xml:space="preserve">Capítulo 6 §4</t>
  </si>
  <si>
    <t xml:space="preserve">  4. Aplicación de la matriz coste-beneficio sobre la matriz de confusión</t>
  </si>
  <si>
    <t xml:space="preserve">El modelo predictivo de churn del Capítulo 7 produce, para cada cliente, una probabilidad estimada de abandono. La fijación de un umbral de decisión genera los cuatro tipos de casos de la matriz de confusión, cada uno con un impacto económico diferenciado que se integra en el modelo financiero según el siguiente esquema:</t>
  </si>
  <si>
    <t xml:space="preserve">Casilla</t>
  </si>
  <si>
    <t xml:space="preserve">Significado operativo</t>
  </si>
  <si>
    <t xml:space="preserve">TP — True Positive</t>
  </si>
  <si>
    <t xml:space="preserve">Cliente predicho como churn que efectivamente abandonaría, contactado y retenido por la acción</t>
  </si>
  <si>
    <t xml:space="preserve">+ Ingresos recuperados (ticket anual del cliente)</t>
  </si>
  <si>
    <t xml:space="preserve">FP — False Positive</t>
  </si>
  <si>
    <t xml:space="preserve">Cliente predicho como churn que no iba a abandonar, contactado innecesariamente</t>
  </si>
  <si>
    <t xml:space="preserve">− Coste variable de la campaña (marginal en email, alto en visita presencial)</t>
  </si>
  <si>
    <t xml:space="preserve">FN — False Negative</t>
  </si>
  <si>
    <t xml:space="preserve">Cliente que abandona sin ser detectado por el modelo predictivo</t>
  </si>
  <si>
    <t xml:space="preserve">Lucro cesante (no contabilizado como ingreso del plan)</t>
  </si>
  <si>
    <t xml:space="preserve">TN — True Negative</t>
  </si>
  <si>
    <t xml:space="preserve">Cliente correctamente identificado como leal, sin campaña dirigida</t>
  </si>
  <si>
    <t xml:space="preserve">+ Ahorro implícito del coste de campaña no incurrido</t>
  </si>
  <si>
    <t xml:space="preserve">  5. Convenciones técnicas del modelo financiero</t>
  </si>
  <si>
    <t xml:space="preserve">El modelo sigue las convenciones de presentación habituales en modelado financiero profesional. Esto garantiza la legibilidad y permite que cualquier usuario familiarizado con el estándar industrial pueda operar el modelo de forma autónoma:</t>
  </si>
  <si>
    <t xml:space="preserve">Convención</t>
  </si>
  <si>
    <t xml:space="preserve">Significado en el modelo</t>
  </si>
  <si>
    <t xml:space="preserve">Texto en azul</t>
  </si>
  <si>
    <t xml:space="preserve">Input editable. Define los supuestos del escenario. Todo cambio en azul recalcula automáticamente el resto del libro.</t>
  </si>
  <si>
    <t xml:space="preserve">Texto en negro</t>
  </si>
  <si>
    <t xml:space="preserve">Fórmula calculada. No debe modificarse: depende de los inputs azules y de otras celdas del modelo.</t>
  </si>
  <si>
    <t xml:space="preserve">Texto en verde</t>
  </si>
  <si>
    <t xml:space="preserve">Vínculo entre hojas. Referencia a celdas calculadas en otras pestañas del libro.</t>
  </si>
  <si>
    <t xml:space="preserve">Celdas con fondo dorado</t>
  </si>
  <si>
    <t xml:space="preserve">Outputs principales del modelo (resultados destacados).</t>
  </si>
  <si>
    <t xml:space="preserve">Bloques en fondo azul claro</t>
  </si>
  <si>
    <t xml:space="preserve">Notas metodológicas explicativas integradas en el flujo del modelo.</t>
  </si>
  <si>
    <t xml:space="preserve">Inputs del modelo</t>
  </si>
  <si>
    <t xml:space="preserve">Conjunto unificado de supuestos editables del modelo financiero</t>
  </si>
  <si>
    <t xml:space="preserve">Nota metodológica. Las celdas en azul constituyen el conjunto completo de supuestos del modelo. Toda modificación de un input recalcula automáticamente los escenarios DO NOTHING, DS Opción 1, DS Opción 2, el desglose por palancas y los análisis de sensibilidad. La trazabilidad de cada valor se documenta en la columna de origen, con referencia explícita al capítulo y notebook del TFG donde se obtuvo el dato.</t>
  </si>
  <si>
    <t xml:space="preserve">  A · Datos de cartera y baseline</t>
  </si>
  <si>
    <t xml:space="preserve">Concepto</t>
  </si>
  <si>
    <t xml:space="preserve">Unidad</t>
  </si>
  <si>
    <t xml:space="preserve">Origen del dato</t>
  </si>
  <si>
    <t xml:space="preserve">Clientes activos en la cartera (sin cuentas técnicas)</t>
  </si>
  <si>
    <t xml:space="preserve">clientes</t>
  </si>
  <si>
    <t xml:space="preserve">Cap. 5, Notebook 11a. Excluye 3 cuentas técnicas (REGO, HERREROS, ECI) y 405 clientes inactivos.</t>
  </si>
  <si>
    <t xml:space="preserve">Facturación retail 2026 — baseline DO NOTHING</t>
  </si>
  <si>
    <t xml:space="preserve">€</t>
  </si>
  <si>
    <t xml:space="preserve">Cap. 4 bis, Notebook 10. Predicción puntual modelo SARIMA(0,0,0)(1,1,0,52)+log. IC 95%: [6,86M; 37,08M].</t>
  </si>
  <si>
    <t xml:space="preserve">Facturación B2B 2026 — proyección inercial</t>
  </si>
  <si>
    <t xml:space="preserve">Cap. 4, Notebook 09a. Media del cuatrienio 2022-2025: 85,2 M€ / 4 años.</t>
  </si>
  <si>
    <t xml:space="preserve">Ticket anual cliente Núcleo Estratégico (C1)</t>
  </si>
  <si>
    <t xml:space="preserve">€/año</t>
  </si>
  <si>
    <t xml:space="preserve">Cap. 5, Notebook 11b. Facturación combinada media C1 (65.532 € / 4 años).</t>
  </si>
  <si>
    <t xml:space="preserve">Ticket anual cliente Grandes Cuentas (C2)</t>
  </si>
  <si>
    <t xml:space="preserve">Cap. 5, Notebook 11b. Facturación combinada media C2 (282.555 € / 4 años).</t>
  </si>
  <si>
    <t xml:space="preserve">Ticket anual cliente Compradores Estacionales (C4)</t>
  </si>
  <si>
    <t xml:space="preserve">Cap. 5, Notebook 11b. Facturación combinada media C4 (10.835 € / 4 años).</t>
  </si>
  <si>
    <t xml:space="preserve">Diferencial de ticket por upgrade C4 → C1</t>
  </si>
  <si>
    <t xml:space="preserve">Cálculo: 16.380 (ticket C1) − 2.708 (ticket C4) = 13.672 €/año por cliente convertido.</t>
  </si>
  <si>
    <t xml:space="preserve">  B · Especificación de las cuatro palancas comerciales</t>
  </si>
  <si>
    <t xml:space="preserve">Cada palanca queda definida por su universo objetivo, ticket unitario y tasa de éxito asumida.</t>
  </si>
  <si>
    <t xml:space="preserve">Universo</t>
  </si>
  <si>
    <t xml:space="preserve">Ticket unit. (€/año)</t>
  </si>
  <si>
    <t xml:space="preserve">Tasa éxito</t>
  </si>
  <si>
    <t xml:space="preserve">Mercado</t>
  </si>
  <si>
    <t xml:space="preserve">Justificación y origen</t>
  </si>
  <si>
    <t xml:space="preserve">MIX</t>
  </si>
  <si>
    <t xml:space="preserve">17 clientes del Núcleo Estratégico en TOP 100 churn del modelo predictivo del Capítulo 7. Composición 74% nacional y 26% internacional.</t>
  </si>
  <si>
    <t xml:space="preserve">P2 — Retención Grandes Cuentas Int. (C2)</t>
  </si>
  <si>
    <t xml:space="preserve">INT</t>
  </si>
  <si>
    <t xml:space="preserve">9 clientes Grandes Cuentas Internacionales en TOP 100 churn. Incluye el caso 7590 (Las Palmas, prob. 52,6%, histórico 95.646 €).</t>
  </si>
  <si>
    <t xml:space="preserve">P3 — Captación huecos territoriales Madrid</t>
  </si>
  <si>
    <t xml:space="preserve">NAC</t>
  </si>
  <si>
    <t xml:space="preserve">127 clientes captables en Madrid según el análisis de huecos del Capítulo 6. Perfil objetivo: Núcleo Estratégico.</t>
  </si>
  <si>
    <t xml:space="preserve">P4 — Conversión C4 → C1 cantera italiana</t>
  </si>
  <si>
    <t xml:space="preserve">271 Compradores Estacionales italianos identificados en el Capítulo 6. Valor unitario = diferencial de ticket C1−C4.</t>
  </si>
  <si>
    <t xml:space="preserve">  C · Estructura de costes anuales del plan</t>
  </si>
  <si>
    <t xml:space="preserve">Valores reales de mercado España 2026. Fuentes públicas citables: Glassdoor (salarios + 40% cargas), AWS pricing (cloud), tarifas Mailchimp/HubSpot (SaaS).</t>
  </si>
  <si>
    <t xml:space="preserve">Partida</t>
  </si>
  <si>
    <t xml:space="preserve">Coste anual</t>
  </si>
  <si>
    <t xml:space="preserve">Categoría</t>
  </si>
  <si>
    <t xml:space="preserve">Justificación</t>
  </si>
  <si>
    <t xml:space="preserve">Business Analyst dedicado (1 FTE mid-level)</t>
  </si>
  <si>
    <t xml:space="preserve">Fijo</t>
  </si>
  <si>
    <t xml:space="preserve">Glassdoor España 2026: bruto 40K€ + 40% cargas sociales</t>
  </si>
  <si>
    <t xml:space="preserve">Customer Success Manager (palancas P1+P2)</t>
  </si>
  <si>
    <t xml:space="preserve">Gestión de cuentas en riesgo identificadas por el modelo de churn</t>
  </si>
  <si>
    <t xml:space="preserve">Comercial dedicado captación Madrid (P3)</t>
  </si>
  <si>
    <t xml:space="preserve">Recurso comercial dedicado a la palanca de captación territorial</t>
  </si>
  <si>
    <t xml:space="preserve">Agente comercial local Italia (P4)</t>
  </si>
  <si>
    <t xml:space="preserve">Partner local italiano para la palanca de upgrade de cluster</t>
  </si>
  <si>
    <t xml:space="preserve">Infraestructura Data (DuckDB + AWS)</t>
  </si>
  <si>
    <t xml:space="preserve">AWS t3.medium + S3 storage según pricing público</t>
  </si>
  <si>
    <t xml:space="preserve">Plataforma email marketing</t>
  </si>
  <si>
    <t xml:space="preserve">Mailchimp / ActiveCampaign para 3.500 contactos</t>
  </si>
  <si>
    <t xml:space="preserve">CRM operativo</t>
  </si>
  <si>
    <t xml:space="preserve">HubSpot Starter o Salesforce Essentials</t>
  </si>
  <si>
    <t xml:space="preserve">Campañas de marketing (medios)</t>
  </si>
  <si>
    <t xml:space="preserve">Variable</t>
  </si>
  <si>
    <t xml:space="preserve">4 campañas estratégicas anuales × 25K€ medios</t>
  </si>
  <si>
    <t xml:space="preserve">Diseño de creatividades</t>
  </si>
  <si>
    <t xml:space="preserve">4 campañas × 3.700 € (freelance / pequeña agencia)</t>
  </si>
  <si>
    <t xml:space="preserve">Localización Italia (traducción, packaging)</t>
  </si>
  <si>
    <t xml:space="preserve">Adaptación de materiales al mercado italiano</t>
  </si>
  <si>
    <t xml:space="preserve">Visitas comerciales C2 (9 cuentas)</t>
  </si>
  <si>
    <t xml:space="preserve">9 cuentas × 7 visitas/año × 400€ (dietas + tiempo comercial)</t>
  </si>
  <si>
    <t xml:space="preserve">Samples y onboarding (P3, P4)</t>
  </si>
  <si>
    <t xml:space="preserve">Producto de prueba para captación y upgrade</t>
  </si>
  <si>
    <t xml:space="preserve">Generales / admin / legal imputables</t>
  </si>
  <si>
    <t xml:space="preserve">Imputación de costes indirectos al proyecto</t>
  </si>
  <si>
    <t xml:space="preserve">Subtotal — Costes fijos</t>
  </si>
  <si>
    <t xml:space="preserve">Subtotal — Costes variables</t>
  </si>
  <si>
    <t xml:space="preserve">TOTAL — Costes anuales del plan</t>
  </si>
  <si>
    <t xml:space="preserve">  D · Parámetro adicional para Opción 2</t>
  </si>
  <si>
    <t xml:space="preserve">Uplift de ticket por reenfoque comercial</t>
  </si>
  <si>
    <t xml:space="preserve">Incremento porcentual del ticket medio en las palancas con componente de captación o conversión (P3 y P4). Modelo de clustering del Cap. 5 permite reenfocar ofertas hacia clusters de mayor ticket.</t>
  </si>
  <si>
    <t xml:space="preserve">Escenario DO NOTHING</t>
  </si>
  <si>
    <t xml:space="preserve">Estimación de la facturación esperada en 2026 sin intervención comercial</t>
  </si>
  <si>
    <t xml:space="preserve">Marco metodológico. El escenario DO NOTHING constituye la línea base contra la que se mide el plan comercial. Asume continuidad operativa sin inversión en el plan analítico. La facturación se descompone en dos canales independientes: retail (proyectado mediante el modelo SARIMA del Cap. 4 bis) y B2B (proyectado como media inercial del cuatrienio histórico). Por construcción, los costes incrementales del plan en este escenario son nulos.</t>
  </si>
  <si>
    <t xml:space="preserve">  Cálculo del escenario DO NOTHING — Ejercicio 2026</t>
  </si>
  <si>
    <t xml:space="preserve">Valor (€)</t>
  </si>
  <si>
    <t xml:space="preserve">Comentario metodológico</t>
  </si>
  <si>
    <t xml:space="preserve">Ingresos canal retail (forecast SARIMA)</t>
  </si>
  <si>
    <t xml:space="preserve">Predicción puntual del modelo SARIMA(0,0,0)(1,1,0,52)+log. Documentado en Notebook 10.</t>
  </si>
  <si>
    <t xml:space="preserve">Ingresos canal B2B (proyección inercial)</t>
  </si>
  <si>
    <t xml:space="preserve">Media aritmética de la facturación B2B 2022-2025: 85,2 M€ / 4 años.</t>
  </si>
  <si>
    <t xml:space="preserve">INGRESOS TOTALES DO NOTHING 2026</t>
  </si>
  <si>
    <t xml:space="preserve">Suma agregada de los dos canales operativos.</t>
  </si>
  <si>
    <t xml:space="preserve">Costes incrementales del plan</t>
  </si>
  <si>
    <t xml:space="preserve">Por construcción del escenario: ausencia de inversión comercial analítica.</t>
  </si>
  <si>
    <t xml:space="preserve">Resultado neto del escenario</t>
  </si>
  <si>
    <t xml:space="preserve">Ingresos menos costes incrementales (que son cero en este escenario).</t>
  </si>
  <si>
    <t xml:space="preserve">Observación. El cuatrienio 2022-2025 documentado en el Cap. 4 muestra una tendencia de decaimiento sostenido del canal retail (−2% anual de media). El forecast SARIMA proyecta la continuidad de esa dinámica para 2026. Por construcción, el ROI del escenario DO NOTHING no es calculable (no hay inversión incremental contra la que medir el retorno).</t>
  </si>
  <si>
    <t xml:space="preserve">Escenario DO SOMETHING · Opción 1</t>
  </si>
  <si>
    <t xml:space="preserve">Activación del plan con incremento de volumen y ticket medio constante</t>
  </si>
  <si>
    <t xml:space="preserve">Marco metodológico. La Opción 1 representa la activación 'conservadora' del plan: las cuatro palancas comerciales aportan clientes adicionales (vía captación o retención), pero el ticket medio individual de cada cliente se mantiene constante. Constituye una cota inferior razonable del retorno esperable, ya que no incorpora el efecto multiplicador del reenfoque comercial habilitado por el modelo de clustering del Capítulo 5 (este efecto se cuantifica en la Opción 2). Fórmula aplicada: Ingreso_palanca = Universo × Tasa_éxito × Ticket_unitario.</t>
  </si>
  <si>
    <t xml:space="preserve">  Cálculo del incremento de ingresos por palanca</t>
  </si>
  <si>
    <t xml:space="preserve">Palanca comercial</t>
  </si>
  <si>
    <t xml:space="preserve">Clientes efect.</t>
  </si>
  <si>
    <t xml:space="preserve">Ticket unit.</t>
  </si>
  <si>
    <t xml:space="preserve">Ingreso anual</t>
  </si>
  <si>
    <t xml:space="preserve">TOTAL — Ingresos incrementales</t>
  </si>
  <si>
    <t xml:space="preserve">  Cálculo del ROI del escenario · Opción 1</t>
  </si>
  <si>
    <t xml:space="preserve">Ingresos incrementales totales del plan</t>
  </si>
  <si>
    <t xml:space="preserve">Suma de las cuatro palancas (cálculo superior).</t>
  </si>
  <si>
    <t xml:space="preserve">Referencia a la hoja 3_Parametros, Bloque C.</t>
  </si>
  <si>
    <t xml:space="preserve">Beneficio neto</t>
  </si>
  <si>
    <t xml:space="preserve">Ingresos incrementales menos costes totales del plan.</t>
  </si>
  <si>
    <t xml:space="preserve">Retorno sobre la inversión (ROI)</t>
  </si>
  <si>
    <t xml:space="preserve">Beneficio neto dividido entre costes totales del plan.</t>
  </si>
  <si>
    <t xml:space="preserve">Escenario DO SOMETHING · Opción 2</t>
  </si>
  <si>
    <t xml:space="preserve">Activación del plan con incremento de volumen y reenfoque comercial de ticket</t>
  </si>
  <si>
    <t xml:space="preserve">Marco metodológico. La Opción 2 añade a la Opción 1 el efecto multiplicador del reenfoque comercial. El modelo de clustering del Capítulo 5 permite dirigir las campañas hacia los clusters de mayor ticket medio, lo que se modela mediante un uplift porcentual aplicado al valor unitario. Por construcción, el uplift se aplica únicamente a las palancas con componente de captación o conversión (P3 y P4), donde el reenfoque tiene sentido operativo. Las palancas P1 y P2 son acciones de retención pura sobre clientes existentes, no procede aplicar uplift a su ticket. Fórmula aplicada: Ingreso_palanca = Universo × Tasa_éxito × Ticket_unitario × (1 + Uplift).</t>
  </si>
  <si>
    <t xml:space="preserve">  Cálculo del incremento de ingresos por palanca con uplift selectivo</t>
  </si>
  <si>
    <t xml:space="preserve">Ticket base</t>
  </si>
  <si>
    <t xml:space="preserve">Uplift</t>
  </si>
  <si>
    <t xml:space="preserve">Ticket final</t>
  </si>
  <si>
    <t xml:space="preserve">  Cálculo del ROI del escenario · Opción 2</t>
  </si>
  <si>
    <t xml:space="preserve">Suma de las cuatro palancas con uplift selectivo.</t>
  </si>
  <si>
    <t xml:space="preserve">Idéntica estructura de costes que en Opción 1.</t>
  </si>
  <si>
    <t xml:space="preserve">Análisis individualizado por palanca</t>
  </si>
  <si>
    <t xml:space="preserve">Desagregación del ROI agregado en la contribución de cada acción comercial</t>
  </si>
  <si>
    <t xml:space="preserve">Marco metodológico. El ROI agregado de los escenarios DS1 y DS2 puede desagregarse en el aporte individual de cada palanca asignando los costes específicos imputables a cada acción comercial. Esta vista permite evaluar la rentabilidad relativa de cada palanca y activar el plan de forma modular si el presupuesto comercial no admite la ejecución completa. Los criterios de asignación de costes a cada palanca se basan en la dedicación operativa de cada recurso a la palanca correspondiente.</t>
  </si>
  <si>
    <t xml:space="preserve">  Asignación de costes específicos por palanca</t>
  </si>
  <si>
    <t xml:space="preserve">P1 Núcleo</t>
  </si>
  <si>
    <t xml:space="preserve">P2 C2</t>
  </si>
  <si>
    <t xml:space="preserve">P3 Madrid</t>
  </si>
  <si>
    <t xml:space="preserve">P4 Italia</t>
  </si>
  <si>
    <t xml:space="preserve">Total asignado</t>
  </si>
  <si>
    <t xml:space="preserve">% s/total</t>
  </si>
  <si>
    <t xml:space="preserve">BA dedicado (% del FTE)</t>
  </si>
  <si>
    <t xml:space="preserve">CSM (50% P1 + 50% P2)</t>
  </si>
  <si>
    <t xml:space="preserve">Comercial Madrid (100% P3)</t>
  </si>
  <si>
    <t xml:space="preserve">Agente Italia (100% P4)</t>
  </si>
  <si>
    <t xml:space="preserve">Visitas comerciales C2</t>
  </si>
  <si>
    <t xml:space="preserve">Campañas medios (split)</t>
  </si>
  <si>
    <t xml:space="preserve">Diseño creatividades</t>
  </si>
  <si>
    <t xml:space="preserve">Localización Italia</t>
  </si>
  <si>
    <t xml:space="preserve">Samples y onboarding</t>
  </si>
  <si>
    <t xml:space="preserve">TOTAL COSTE POR PALANCA</t>
  </si>
  <si>
    <t xml:space="preserve">100%</t>
  </si>
  <si>
    <t xml:space="preserve">  Rentabilidad individual de cada palanca</t>
  </si>
  <si>
    <t xml:space="preserve">Ingreso</t>
  </si>
  <si>
    <t xml:space="preserve">Coste asignado</t>
  </si>
  <si>
    <t xml:space="preserve">Beneficio</t>
  </si>
  <si>
    <t xml:space="preserve">ROI individual</t>
  </si>
  <si>
    <t xml:space="preserve">Calificación</t>
  </si>
  <si>
    <t xml:space="preserve">Observación analítica. La palanca P1 (Retención del Núcleo Estratégico) presenta ROI individual negativo bajo la asignación de costes propuesta. Esta circunstancia no invalida la inclusión de P1 en el plan, sino que evidencia una limitación del marco temporal del modelo: el valor económico de retener un cliente del Núcleo se libera durante varios ejercicios (no solo el primer año analizado) y el coste de reposición de un cliente perdido del Núcleo se estima en 5-7x el coste de su retención (literatura B2B). El modelo, al ser anual, no captura ese valor multianual. Esta limitación se documenta explícitamente en la hoja 9_Sintesis.</t>
  </si>
  <si>
    <t xml:space="preserve">Análisis de sensibilidad paramétrica</t>
  </si>
  <si>
    <t xml:space="preserve">Evaluación de la robustez del ROI ante variación de los supuestos</t>
  </si>
  <si>
    <t xml:space="preserve">Marco metodológico. Los resultados del caso base dependen de unas hipótesis concretas sobre las tasas de éxito de cada palanca y la estructura de costes. Dado que estos parámetros son inherentemente inciertos, el rigor analítico exige cuantificar cómo se mueve el ROI cuando los supuestos varían dentro de rangos razonables. Esta hoja contiene dos análisis complementarios: (i) sensibilidad univariante, que mueve un parámetro a la vez manteniendo el resto en su valor base; y (ii) sensibilidad bivariante (heatmap), que cruza las dos palancas más influyentes para evaluar combinaciones de hipótesis.</t>
  </si>
  <si>
    <t xml:space="preserve">  Análisis 1 · Sensibilidad univariante</t>
  </si>
  <si>
    <t xml:space="preserve">Parámetro analizado</t>
  </si>
  <si>
    <t xml:space="preserve">Valor pesimista</t>
  </si>
  <si>
    <t xml:space="preserve">ROI resultante</t>
  </si>
  <si>
    <t xml:space="preserve">Valor base</t>
  </si>
  <si>
    <t xml:space="preserve">ROI base</t>
  </si>
  <si>
    <t xml:space="preserve">Valor optimista</t>
  </si>
  <si>
    <t xml:space="preserve">Tasa éxito P1 (Retención Núcleo C1)</t>
  </si>
  <si>
    <t xml:space="preserve">Tasa éxito P2 (Retención Grandes Cuentas C2)</t>
  </si>
  <si>
    <t xml:space="preserve">Tasa éxito P3 (Captación Madrid)</t>
  </si>
  <si>
    <t xml:space="preserve">Tasa éxito P4 (Conversión Italia)</t>
  </si>
  <si>
    <t xml:space="preserve">  Análisis 2 · Sensibilidad bivariante P3 × P4 (heatmap)</t>
  </si>
  <si>
    <t xml:space="preserve">Variación simultánea de las tasas de éxito de las dos palancas más influyentes del modelo.</t>
  </si>
  <si>
    <t xml:space="preserve">↓ P3 (Madrid) | P4 (Italia) →</t>
  </si>
  <si>
    <t xml:space="preserve">Leyenda interpretativa</t>
  </si>
  <si>
    <t xml:space="preserve">Color rojo (ROI &lt; 15%)</t>
  </si>
  <si>
    <t xml:space="preserve">Combinación de hipótesis para la que el plan no alcanza el rango defendible. Requiere mejora operativa o recalibración.</t>
  </si>
  <si>
    <t xml:space="preserve">Color amarillo (15% ≤ ROI ≤ 25%)</t>
  </si>
  <si>
    <t xml:space="preserve">Zona objetivo del modelo. Combinaciones de hipótesis compatibles con el rango defendible recomendado por el tutor.</t>
  </si>
  <si>
    <t xml:space="preserve">Color verde (ROI &gt; 25%)</t>
  </si>
  <si>
    <t xml:space="preserve">Escenarios optimistas. Requieren justificación adicional pero indican upside potencial del plan.</t>
  </si>
  <si>
    <t xml:space="preserve">Síntesis económica y conclusiones</t>
  </si>
  <si>
    <t xml:space="preserve">Resultados consolidados del modelo de ROI del Capítulo 8</t>
  </si>
  <si>
    <t xml:space="preserve">  1 · Comparativa consolidada de los tres escenarios</t>
  </si>
  <si>
    <t xml:space="preserve">Ingresos 2026</t>
  </si>
  <si>
    <t xml:space="preserve">Δ vs DN</t>
  </si>
  <si>
    <t xml:space="preserve">Costes plan</t>
  </si>
  <si>
    <t xml:space="preserve">ROI</t>
  </si>
  <si>
    <t xml:space="preserve">  2 · Conclusiones cuantitativas</t>
  </si>
  <si>
    <t xml:space="preserve">#</t>
  </si>
  <si>
    <t xml:space="preserve">Hallazgo</t>
  </si>
  <si>
    <t xml:space="preserve">Magnitud cuantitativa</t>
  </si>
  <si>
    <t xml:space="preserve">C1</t>
  </si>
  <si>
    <t xml:space="preserve">El plan comercial basado en analítica es económicamente defendible</t>
  </si>
  <si>
    <t xml:space="preserve">ROI agregado 22 - 27% anual</t>
  </si>
  <si>
    <t xml:space="preserve">C2</t>
  </si>
  <si>
    <t xml:space="preserve">El modelo de clustering del Capítulo 5 aporta valor económico tangible vía reenfoque comercial</t>
  </si>
  <si>
    <t xml:space="preserve">+5 puntos de ROI sin coste adicional</t>
  </si>
  <si>
    <t xml:space="preserve">C3</t>
  </si>
  <si>
    <t xml:space="preserve">Las palancas presentan perfiles de rentabilidad muy heterogéneos</t>
  </si>
  <si>
    <t xml:space="preserve">P2 ROI alto; P1 negativo en aislado</t>
  </si>
  <si>
    <t xml:space="preserve">C4</t>
  </si>
  <si>
    <t xml:space="preserve">El plan es robusto frente a desviaciones moderadas de ejecución</t>
  </si>
  <si>
    <t xml:space="preserve">ROI positivo en escenario pesimista combinado</t>
  </si>
  <si>
    <t xml:space="preserve">C5</t>
  </si>
  <si>
    <t xml:space="preserve">La inversión se concentra principalmente en recurso humano dedicado</t>
  </si>
  <si>
    <t xml:space="preserve">210 K€ de 482 K€ totales (44%)</t>
  </si>
  <si>
    <t xml:space="preserve">  3 · Limitaciones reconocidas del modelo</t>
  </si>
  <si>
    <t xml:space="preserve">Limitación</t>
  </si>
  <si>
    <t xml:space="preserve">Detalle</t>
  </si>
  <si>
    <t xml:space="preserve">L1</t>
  </si>
  <si>
    <t xml:space="preserve">Revenue vs margen de contribución</t>
  </si>
  <si>
    <t xml:space="preserve">El ROI se calcula sobre ingresos brutos, no sobre margen operativo. El margen bruto típico en textil es 30-40%, por lo que el ROI sobre beneficio sería proporcionalmente menor pero permanecería positivo.</t>
  </si>
  <si>
    <t xml:space="preserve">L2</t>
  </si>
  <si>
    <t xml:space="preserve">Tasas de éxito estimadas con benchmarks</t>
  </si>
  <si>
    <t xml:space="preserve">Las tasas de éxito de las palancas son estimaciones basadas en literatura sectorial, no observaciones empíricas de Selmark. La calibración definitiva requiere ejecución real del plan.</t>
  </si>
  <si>
    <t xml:space="preserve">L3</t>
  </si>
  <si>
    <t xml:space="preserve">Independencia entre palancas</t>
  </si>
  <si>
    <t xml:space="preserve">El modelo asume las cuatro palancas como independientes. En la práctica pueden existir efectos de canibalización (solapamiento de universos objetivo) o sinergias (campañas que refuerzan acciones contiguas).</t>
  </si>
  <si>
    <t xml:space="preserve">L4</t>
  </si>
  <si>
    <t xml:space="preserve">Horizonte temporal anual</t>
  </si>
  <si>
    <t xml:space="preserve">El modelo calcula ROI sobre 12 meses. Algunas acciones (especialmente la retención del Núcleo, palanca P1) liberan valor durante varios ejercicios. Este es el origen del ROI negativo en aislado de P1.</t>
  </si>
  <si>
    <t xml:space="preserve">L5</t>
  </si>
  <si>
    <t xml:space="preserve">Proyección B2B inercial</t>
  </si>
  <si>
    <t xml:space="preserve">El canal retail se proyecta con el modelo SARIMA del Cap. 4 bis; el canal B2B se proyecta como media inercial al no haberse desarrollado un modelo predictivo específico.</t>
  </si>
  <si>
    <t xml:space="preserve">L6</t>
  </si>
  <si>
    <t xml:space="preserve">Probabilidad de churn no integrada en el modelo financiero</t>
  </si>
  <si>
    <t xml:space="preserve">El modelo simplificado asume tasas de éxito fijas. Una versión avanzada podría modular las tasas según la probabilidad individual de churn estimada por el LightGBM del Capítulo 7.</t>
  </si>
  <si>
    <t xml:space="preserve">  4 · Trazabilidad metodológica al conjunto del TFG</t>
  </si>
  <si>
    <t xml:space="preserve">Cada componente del modelo financiero conecta con un capítulo analítico del TFG, lo que garantiza la trazabilidad metodológica del trabajo:</t>
  </si>
  <si>
    <t xml:space="preserve">Capítulo TFG</t>
  </si>
  <si>
    <t xml:space="preserve">Aporte al modelo financiero del Capítulo 8</t>
  </si>
  <si>
    <t xml:space="preserve">Cap. 4 — Análisis descriptivo (NB 09)</t>
  </si>
  <si>
    <t xml:space="preserve">Identificación del calendario comercial y exclusión sistemática de cuentas técnicas</t>
  </si>
  <si>
    <t xml:space="preserve">Cap. 4 bis — SARIMA (NB 10)</t>
  </si>
  <si>
    <t xml:space="preserve">Forecast retail 15,95 M€ como componente del baseline DO NOTHING</t>
  </si>
  <si>
    <t xml:space="preserve">Cap. 5 — Clustering K-Means (NB 11)</t>
  </si>
  <si>
    <t xml:space="preserve">Ticket medio por cluster que alimenta el cálculo de las cuatro palancas</t>
  </si>
  <si>
    <t xml:space="preserve">Cap. 6 — Geomarketing (NB 12)</t>
  </si>
  <si>
    <t xml:space="preserve">127 clientes captables en Madrid (P3) y 271 estacionales italianos (P4)</t>
  </si>
  <si>
    <t xml:space="preserve">Cap. 7 — Churn predictivo (NB 13)</t>
  </si>
  <si>
    <t xml:space="preserve">TOP 100 churn: 17 clientes Núcleo (P1) y 9 Grandes Cuentas (P2)</t>
  </si>
</sst>
</file>

<file path=xl/styles.xml><?xml version="1.0" encoding="utf-8"?>
<styleSheet xmlns="http://schemas.openxmlformats.org/spreadsheetml/2006/main">
  <numFmts count="6">
    <numFmt numFmtId="164" formatCode="General"/>
    <numFmt numFmtId="165" formatCode="#,##0;\(#,##0\);\—"/>
    <numFmt numFmtId="166" formatCode="#,##0&quot; €&quot;;\(#,##0&quot; €)&quot;;\—"/>
    <numFmt numFmtId="167" formatCode="0.0%;\(0.0%\);\—"/>
    <numFmt numFmtId="168" formatCode="#,##0.0"/>
    <numFmt numFmtId="169" formatCode="#,##0.00&quot; M€&quot;;\(#,##0.00&quot; M€)&quot;;\—"/>
  </numFmts>
  <fonts count="25">
    <font>
      <sz val="11"/>
      <color theme="1"/>
      <name val="Calibri"/>
      <family val="2"/>
      <charset val="1"/>
    </font>
    <font>
      <sz val="10"/>
      <name val="Arial"/>
      <family val="0"/>
    </font>
    <font>
      <sz val="10"/>
      <name val="Arial"/>
      <family val="0"/>
    </font>
    <font>
      <sz val="10"/>
      <name val="Arial"/>
      <family val="0"/>
    </font>
    <font>
      <sz val="14"/>
      <color rgb="FFC9347B"/>
      <name val="Arial"/>
      <family val="0"/>
      <charset val="1"/>
    </font>
    <font>
      <b val="true"/>
      <sz val="22"/>
      <color rgb="FF2C3E5D"/>
      <name val="Arial"/>
      <family val="0"/>
      <charset val="1"/>
    </font>
    <font>
      <sz val="13"/>
      <color rgb="FF2C3E5D"/>
      <name val="Arial"/>
      <family val="0"/>
      <charset val="1"/>
    </font>
    <font>
      <b val="true"/>
      <sz val="14"/>
      <color rgb="FF2C3E5D"/>
      <name val="Arial"/>
      <family val="0"/>
      <charset val="1"/>
    </font>
    <font>
      <b val="true"/>
      <sz val="11"/>
      <color rgb="FF000000"/>
      <name val="Arial"/>
      <family val="0"/>
      <charset val="1"/>
    </font>
    <font>
      <sz val="11"/>
      <color rgb="FF000000"/>
      <name val="Arial"/>
      <family val="0"/>
      <charset val="1"/>
    </font>
    <font>
      <sz val="10.5"/>
      <color rgb="FF000000"/>
      <name val="Arial"/>
      <family val="0"/>
      <charset val="1"/>
    </font>
    <font>
      <b val="true"/>
      <sz val="11"/>
      <color rgb="FFFFFFFF"/>
      <name val="Arial"/>
      <family val="0"/>
      <charset val="1"/>
    </font>
    <font>
      <i val="true"/>
      <sz val="9"/>
      <color rgb="FF888888"/>
      <name val="Arial"/>
      <family val="0"/>
      <charset val="1"/>
    </font>
    <font>
      <i val="true"/>
      <sz val="11"/>
      <color rgb="FF888888"/>
      <name val="Arial"/>
      <family val="0"/>
      <charset val="1"/>
    </font>
    <font>
      <b val="true"/>
      <sz val="12"/>
      <color rgb="FFFFFFFF"/>
      <name val="Arial"/>
      <family val="0"/>
      <charset val="1"/>
    </font>
    <font>
      <sz val="10"/>
      <color rgb="FF000000"/>
      <name val="Arial"/>
      <family val="0"/>
      <charset val="1"/>
    </font>
    <font>
      <i val="true"/>
      <sz val="9.5"/>
      <color rgb="FF666666"/>
      <name val="Arial"/>
      <family val="0"/>
      <charset val="1"/>
    </font>
    <font>
      <b val="true"/>
      <sz val="11"/>
      <color rgb="FF0000FF"/>
      <name val="Arial"/>
      <family val="0"/>
      <charset val="1"/>
    </font>
    <font>
      <b val="true"/>
      <sz val="11"/>
      <color rgb="FF008000"/>
      <name val="Arial"/>
      <family val="0"/>
      <charset val="1"/>
    </font>
    <font>
      <b val="true"/>
      <sz val="11"/>
      <color rgb="FF2C3E5D"/>
      <name val="Arial"/>
      <family val="0"/>
      <charset val="1"/>
    </font>
    <font>
      <i val="true"/>
      <sz val="10"/>
      <color rgb="FF2C3E5D"/>
      <name val="Arial"/>
      <family val="0"/>
      <charset val="1"/>
    </font>
    <font>
      <sz val="11"/>
      <color rgb="FF0000FF"/>
      <name val="Arial"/>
      <family val="0"/>
      <charset val="1"/>
    </font>
    <font>
      <sz val="11"/>
      <color rgb="FF008000"/>
      <name val="Arial"/>
      <family val="0"/>
      <charset val="1"/>
    </font>
    <font>
      <b val="true"/>
      <sz val="12"/>
      <color rgb="FF000000"/>
      <name val="Arial"/>
      <family val="0"/>
      <charset val="1"/>
    </font>
    <font>
      <b val="true"/>
      <sz val="13"/>
      <color rgb="FF000000"/>
      <name val="Arial"/>
      <family val="0"/>
      <charset val="1"/>
    </font>
  </fonts>
  <fills count="7">
    <fill>
      <patternFill patternType="none"/>
    </fill>
    <fill>
      <patternFill patternType="gray125"/>
    </fill>
    <fill>
      <patternFill patternType="solid">
        <fgColor rgb="FF2C3E5D"/>
        <bgColor rgb="FF333399"/>
      </patternFill>
    </fill>
    <fill>
      <patternFill patternType="solid">
        <fgColor rgb="FFC9347B"/>
        <bgColor rgb="FF993366"/>
      </patternFill>
    </fill>
    <fill>
      <patternFill patternType="solid">
        <fgColor rgb="FFFFF8DC"/>
        <bgColor rgb="FFFFFFFF"/>
      </patternFill>
    </fill>
    <fill>
      <patternFill patternType="solid">
        <fgColor rgb="FFE8F0FE"/>
        <bgColor rgb="FFE8E8E8"/>
      </patternFill>
    </fill>
    <fill>
      <patternFill patternType="solid">
        <fgColor rgb="FFE8E8E8"/>
        <bgColor rgb="FFE8F0FE"/>
      </patternFill>
    </fill>
  </fills>
  <borders count="4">
    <border diagonalUp="false" diagonalDown="false">
      <left/>
      <right/>
      <top/>
      <bottom/>
      <diagonal/>
    </border>
    <border diagonalUp="false" diagonalDown="false">
      <left/>
      <right/>
      <top/>
      <bottom style="thin">
        <color rgb="FFB0B0B0"/>
      </bottom>
      <diagonal/>
    </border>
    <border diagonalUp="false" diagonalDown="false">
      <left style="thin">
        <color rgb="FF888888"/>
      </left>
      <right style="thin">
        <color rgb="FF888888"/>
      </right>
      <top style="thin">
        <color rgb="FF888888"/>
      </top>
      <bottom style="thin">
        <color rgb="FF888888"/>
      </bottom>
      <diagonal/>
    </border>
    <border diagonalUp="false" diagonalDown="false">
      <left style="thin">
        <color rgb="FF888888"/>
      </left>
      <right/>
      <top style="thin">
        <color rgb="FF888888"/>
      </top>
      <bottom style="thin">
        <color rgb="FF88888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9" fillId="0" borderId="3"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righ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left" vertical="center"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9" fillId="0" borderId="3" xfId="0" applyFont="true" applyBorder="true" applyAlignment="true" applyProtection="false">
      <alignment horizontal="left" vertical="top" textRotation="0" wrapText="true" indent="0" shrinkToFit="false"/>
      <protection locked="true" hidden="false"/>
    </xf>
    <xf numFmtId="164" fontId="15" fillId="0" borderId="3" xfId="0" applyFont="true" applyBorder="true" applyAlignment="true" applyProtection="false">
      <alignment horizontal="left" vertical="top" textRotation="0" wrapText="true" indent="0" shrinkToFit="false"/>
      <protection locked="true" hidden="false"/>
    </xf>
    <xf numFmtId="164" fontId="16" fillId="0" borderId="2"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left" vertical="center" textRotation="0" wrapText="true" indent="0" shrinkToFit="false"/>
      <protection locked="true" hidden="false"/>
    </xf>
    <xf numFmtId="164" fontId="18" fillId="0"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19" fillId="5" borderId="2" xfId="0" applyFont="true" applyBorder="true" applyAlignment="true" applyProtection="false">
      <alignment horizontal="left" vertical="center" textRotation="0" wrapText="true" indent="0" shrinkToFit="false"/>
      <protection locked="true" hidden="false"/>
    </xf>
    <xf numFmtId="164" fontId="20" fillId="5" borderId="2" xfId="0" applyFont="true" applyBorder="true" applyAlignment="true" applyProtection="false">
      <alignment horizontal="left" vertical="top" textRotation="0" wrapText="true" indent="0" shrinkToFit="false"/>
      <protection locked="true" hidden="false"/>
    </xf>
    <xf numFmtId="165" fontId="21" fillId="5" borderId="2" xfId="0" applyFont="true" applyBorder="true" applyAlignment="true" applyProtection="false">
      <alignment horizontal="right" vertical="center" textRotation="0" wrapText="fals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16" fillId="0" borderId="3" xfId="0" applyFont="true" applyBorder="true" applyAlignment="true" applyProtection="false">
      <alignment horizontal="left" vertical="center" textRotation="0" wrapText="true" indent="0" shrinkToFit="false"/>
      <protection locked="true" hidden="false"/>
    </xf>
    <xf numFmtId="166" fontId="21" fillId="5" borderId="2" xfId="0" applyFont="true" applyBorder="true" applyAlignment="true" applyProtection="false">
      <alignment horizontal="right"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5" fontId="21" fillId="5" borderId="2" xfId="0" applyFont="true" applyBorder="true" applyAlignment="true" applyProtection="false">
      <alignment horizontal="center" vertical="center" textRotation="0" wrapText="true" indent="0" shrinkToFit="false"/>
      <protection locked="true" hidden="false"/>
    </xf>
    <xf numFmtId="166" fontId="21" fillId="5" borderId="2" xfId="0" applyFont="true" applyBorder="true" applyAlignment="true" applyProtection="false">
      <alignment horizontal="center" vertical="center" textRotation="0" wrapText="true" indent="0" shrinkToFit="false"/>
      <protection locked="true" hidden="false"/>
    </xf>
    <xf numFmtId="167" fontId="21" fillId="5"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8" fillId="6" borderId="2" xfId="0" applyFont="true" applyBorder="true" applyAlignment="true" applyProtection="false">
      <alignment horizontal="left" vertical="center" textRotation="0" wrapText="true" indent="0" shrinkToFit="false"/>
      <protection locked="true" hidden="false"/>
    </xf>
    <xf numFmtId="166" fontId="8" fillId="6" borderId="2" xfId="0" applyFont="true" applyBorder="true" applyAlignment="true" applyProtection="false">
      <alignment horizontal="right" vertical="center" textRotation="0" wrapText="false" indent="0" shrinkToFit="false"/>
      <protection locked="true" hidden="false"/>
    </xf>
    <xf numFmtId="164" fontId="11" fillId="2" borderId="2" xfId="0" applyFont="true" applyBorder="true" applyAlignment="true" applyProtection="false">
      <alignment horizontal="left" vertical="center" textRotation="0" wrapText="true" indent="0" shrinkToFit="false"/>
      <protection locked="true" hidden="false"/>
    </xf>
    <xf numFmtId="166" fontId="11" fillId="2" borderId="2" xfId="0" applyFont="true" applyBorder="true" applyAlignment="true" applyProtection="false">
      <alignment horizontal="right" vertical="center" textRotation="0" wrapText="false" indent="0" shrinkToFit="false"/>
      <protection locked="true" hidden="false"/>
    </xf>
    <xf numFmtId="167" fontId="21" fillId="5" borderId="2" xfId="0" applyFont="true" applyBorder="true" applyAlignment="true" applyProtection="false">
      <alignment horizontal="right"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22" fillId="0" borderId="2" xfId="0" applyFont="true" applyBorder="true" applyAlignment="true" applyProtection="false">
      <alignment horizontal="right" vertical="center" textRotation="0" wrapText="false" indent="0" shrinkToFit="false"/>
      <protection locked="true" hidden="false"/>
    </xf>
    <xf numFmtId="166" fontId="18" fillId="6" borderId="2" xfId="0" applyFont="true" applyBorder="true" applyAlignment="true" applyProtection="false">
      <alignment horizontal="right" vertical="center" textRotation="0" wrapText="false" indent="0" shrinkToFit="false"/>
      <protection locked="true" hidden="false"/>
    </xf>
    <xf numFmtId="166" fontId="9" fillId="0" borderId="2" xfId="0" applyFont="true" applyBorder="true" applyAlignment="true" applyProtection="false">
      <alignment horizontal="right" vertical="center" textRotation="0" wrapText="false" indent="0" shrinkToFit="false"/>
      <protection locked="true" hidden="false"/>
    </xf>
    <xf numFmtId="165" fontId="22" fillId="0" borderId="2" xfId="0" applyFont="true" applyBorder="true" applyAlignment="true" applyProtection="false">
      <alignment horizontal="center" vertical="center" textRotation="0" wrapText="true" indent="0" shrinkToFit="false"/>
      <protection locked="true" hidden="false"/>
    </xf>
    <xf numFmtId="167" fontId="22" fillId="0" borderId="2" xfId="0" applyFont="true" applyBorder="true" applyAlignment="true" applyProtection="false">
      <alignment horizontal="center" vertical="center" textRotation="0" wrapText="true" indent="0" shrinkToFit="false"/>
      <protection locked="true" hidden="false"/>
    </xf>
    <xf numFmtId="168" fontId="9" fillId="0" borderId="2" xfId="0" applyFont="true" applyBorder="true" applyAlignment="true" applyProtection="false">
      <alignment horizontal="center" vertical="center" textRotation="0" wrapText="true" indent="0" shrinkToFit="false"/>
      <protection locked="true" hidden="false"/>
    </xf>
    <xf numFmtId="166" fontId="8" fillId="0" borderId="2" xfId="0" applyFont="true" applyBorder="true" applyAlignment="true" applyProtection="false">
      <alignment horizontal="right" vertical="center" textRotation="0" wrapText="false" indent="0" shrinkToFit="false"/>
      <protection locked="true" hidden="false"/>
    </xf>
    <xf numFmtId="164" fontId="11" fillId="2" borderId="3" xfId="0" applyFont="true" applyBorder="true" applyAlignment="true" applyProtection="false">
      <alignment horizontal="left" vertical="center" textRotation="0" wrapText="true" indent="0" shrinkToFit="false"/>
      <protection locked="true" hidden="false"/>
    </xf>
    <xf numFmtId="164" fontId="23" fillId="4" borderId="2" xfId="0" applyFont="true" applyBorder="true" applyAlignment="true" applyProtection="false">
      <alignment horizontal="left" vertical="center" textRotation="0" wrapText="true" indent="0" shrinkToFit="false"/>
      <protection locked="true" hidden="false"/>
    </xf>
    <xf numFmtId="167" fontId="24" fillId="4" borderId="2" xfId="0" applyFont="true" applyBorder="true" applyAlignment="true" applyProtection="false">
      <alignment horizontal="right" vertical="center" textRotation="0" wrapText="false" indent="0" shrinkToFit="false"/>
      <protection locked="true" hidden="false"/>
    </xf>
    <xf numFmtId="167" fontId="9" fillId="0" borderId="2" xfId="0" applyFont="true" applyBorder="true" applyAlignment="true" applyProtection="false">
      <alignment horizontal="center" vertical="center" textRotation="0" wrapText="true" indent="0" shrinkToFit="false"/>
      <protection locked="true" hidden="false"/>
    </xf>
    <xf numFmtId="167" fontId="9" fillId="0" borderId="2" xfId="0" applyFont="true" applyBorder="true" applyAlignment="true" applyProtection="false">
      <alignment horizontal="right" vertical="center" textRotation="0" wrapText="false" indent="0" shrinkToFit="false"/>
      <protection locked="true" hidden="false"/>
    </xf>
    <xf numFmtId="164" fontId="11" fillId="2" borderId="2" xfId="0" applyFont="true" applyBorder="true" applyAlignment="false" applyProtection="false">
      <alignment horizontal="general" vertical="bottom" textRotation="0" wrapText="false" indent="0" shrinkToFit="false"/>
      <protection locked="true" hidden="false"/>
    </xf>
    <xf numFmtId="164" fontId="11" fillId="2" borderId="2" xfId="0" applyFont="true" applyBorder="true" applyAlignment="true" applyProtection="false">
      <alignment horizontal="right" vertical="center" textRotation="0" wrapText="false" indent="0" shrinkToFit="false"/>
      <protection locked="true" hidden="false"/>
    </xf>
    <xf numFmtId="168" fontId="9" fillId="0" borderId="2" xfId="0" applyFont="true" applyBorder="true" applyAlignment="true" applyProtection="false">
      <alignment horizontal="right" vertical="center" textRotation="0" wrapText="false" indent="0" shrinkToFit="false"/>
      <protection locked="true" hidden="false"/>
    </xf>
    <xf numFmtId="167" fontId="8" fillId="0" borderId="2" xfId="0" applyFont="true" applyBorder="true" applyAlignment="true" applyProtection="false">
      <alignment horizontal="right" vertical="center" textRotation="0" wrapText="false" indent="0" shrinkToFit="false"/>
      <protection locked="true" hidden="false"/>
    </xf>
    <xf numFmtId="164" fontId="0" fillId="0" borderId="2" xfId="0" applyFont="false" applyBorder="true" applyAlignment="true" applyProtection="false">
      <alignment horizontal="right" vertical="center" textRotation="0" wrapText="false" indent="0" shrinkToFit="false"/>
      <protection locked="true" hidden="false"/>
    </xf>
    <xf numFmtId="167" fontId="8" fillId="4" borderId="2" xfId="0" applyFont="true" applyBorder="true" applyAlignment="true" applyProtection="false">
      <alignment horizontal="right" vertical="center" textRotation="0" wrapText="fals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7" fontId="17" fillId="5" borderId="2" xfId="0" applyFont="true" applyBorder="true" applyAlignment="true" applyProtection="false">
      <alignment horizontal="center" vertical="center" textRotation="0" wrapText="true" indent="0" shrinkToFit="false"/>
      <protection locked="true" hidden="false"/>
    </xf>
    <xf numFmtId="164" fontId="8" fillId="6" borderId="0" xfId="0" applyFont="true" applyBorder="true" applyAlignment="false" applyProtection="false">
      <alignment horizontal="general" vertical="bottom" textRotation="0" wrapText="false" indent="0" shrinkToFit="false"/>
      <protection locked="true" hidden="false"/>
    </xf>
    <xf numFmtId="169" fontId="22" fillId="0" borderId="2"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right" vertical="center" textRotation="0" wrapText="false" indent="0" shrinkToFit="false"/>
      <protection locked="true" hidden="false"/>
    </xf>
    <xf numFmtId="169" fontId="9" fillId="0" borderId="2" xfId="0" applyFont="true" applyBorder="true" applyAlignment="true" applyProtection="false">
      <alignment horizontal="right"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88888"/>
      <rgbColor rgb="FF9999FF"/>
      <rgbColor rgb="FFC9347B"/>
      <rgbColor rgb="FFFFF8DC"/>
      <rgbColor rgb="FFE8F0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8E8"/>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3E5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8" min="3" style="0" width="18"/>
  </cols>
  <sheetData>
    <row r="1" customFormat="false" ht="7.5" hidden="false" customHeight="true" outlineLevel="0" collapsed="false">
      <c r="A1" s="1"/>
      <c r="B1" s="1"/>
      <c r="C1" s="1"/>
      <c r="D1" s="1"/>
      <c r="E1" s="1"/>
      <c r="F1" s="1"/>
      <c r="G1" s="1"/>
      <c r="H1" s="1"/>
    </row>
    <row r="3" customFormat="false" ht="17.35" hidden="false" customHeight="false" outlineLevel="0" collapsed="false">
      <c r="B3" s="2" t="s">
        <v>0</v>
      </c>
      <c r="C3" s="2"/>
      <c r="D3" s="2"/>
      <c r="E3" s="2"/>
      <c r="F3" s="2"/>
      <c r="G3" s="2"/>
      <c r="H3" s="2"/>
    </row>
    <row r="4" customFormat="false" ht="31.5" hidden="false" customHeight="true" outlineLevel="0" collapsed="false">
      <c r="B4" s="3" t="s">
        <v>1</v>
      </c>
      <c r="C4" s="3"/>
      <c r="D4" s="3"/>
      <c r="E4" s="3"/>
      <c r="F4" s="3"/>
      <c r="G4" s="3"/>
      <c r="H4" s="3"/>
    </row>
    <row r="5" customFormat="false" ht="16.15" hidden="false" customHeight="false" outlineLevel="0" collapsed="false">
      <c r="B5" s="4" t="s">
        <v>2</v>
      </c>
      <c r="C5" s="4"/>
      <c r="D5" s="4"/>
      <c r="E5" s="4"/>
      <c r="F5" s="4"/>
      <c r="G5" s="4"/>
      <c r="H5" s="4"/>
    </row>
    <row r="7" customFormat="false" ht="3" hidden="false" customHeight="true" outlineLevel="0" collapsed="false">
      <c r="A7" s="5"/>
      <c r="B7" s="5"/>
      <c r="C7" s="5"/>
      <c r="D7" s="5"/>
      <c r="E7" s="5"/>
      <c r="F7" s="5"/>
      <c r="G7" s="5"/>
      <c r="H7" s="5"/>
    </row>
    <row r="9" customFormat="false" ht="17.35" hidden="false" customHeight="false" outlineLevel="0" collapsed="false">
      <c r="B9" s="6" t="s">
        <v>3</v>
      </c>
      <c r="C9" s="6"/>
      <c r="D9" s="6"/>
      <c r="E9" s="6"/>
      <c r="F9" s="6"/>
      <c r="G9" s="6"/>
      <c r="H9" s="6"/>
    </row>
    <row r="10" customFormat="false" ht="19.5" hidden="false" customHeight="true" outlineLevel="0" collapsed="false">
      <c r="B10" s="7" t="s">
        <v>4</v>
      </c>
      <c r="C10" s="8" t="s">
        <v>5</v>
      </c>
      <c r="D10" s="8"/>
      <c r="E10" s="8"/>
      <c r="F10" s="8"/>
      <c r="G10" s="8"/>
      <c r="H10" s="8"/>
    </row>
    <row r="11" customFormat="false" ht="19.5" hidden="false" customHeight="true" outlineLevel="0" collapsed="false">
      <c r="B11" s="7" t="s">
        <v>6</v>
      </c>
      <c r="C11" s="8" t="s">
        <v>7</v>
      </c>
      <c r="D11" s="8"/>
      <c r="E11" s="8"/>
      <c r="F11" s="8"/>
      <c r="G11" s="8"/>
      <c r="H11" s="8"/>
    </row>
    <row r="12" customFormat="false" ht="19.5" hidden="false" customHeight="true" outlineLevel="0" collapsed="false">
      <c r="B12" s="7" t="s">
        <v>8</v>
      </c>
      <c r="C12" s="8" t="s">
        <v>9</v>
      </c>
      <c r="D12" s="8"/>
      <c r="E12" s="8"/>
      <c r="F12" s="8"/>
      <c r="G12" s="8"/>
      <c r="H12" s="8"/>
    </row>
    <row r="13" customFormat="false" ht="19.5" hidden="false" customHeight="true" outlineLevel="0" collapsed="false">
      <c r="B13" s="7" t="s">
        <v>10</v>
      </c>
      <c r="C13" s="8" t="s">
        <v>11</v>
      </c>
      <c r="D13" s="8"/>
      <c r="E13" s="8"/>
      <c r="F13" s="8"/>
      <c r="G13" s="8"/>
      <c r="H13" s="8"/>
    </row>
    <row r="14" customFormat="false" ht="19.5" hidden="false" customHeight="true" outlineLevel="0" collapsed="false">
      <c r="B14" s="7" t="s">
        <v>12</v>
      </c>
      <c r="C14" s="8" t="s">
        <v>13</v>
      </c>
      <c r="D14" s="8"/>
      <c r="E14" s="8"/>
      <c r="F14" s="8"/>
      <c r="G14" s="8"/>
      <c r="H14" s="8"/>
    </row>
    <row r="15" customFormat="false" ht="19.5" hidden="false" customHeight="true" outlineLevel="0" collapsed="false">
      <c r="B15" s="7" t="s">
        <v>14</v>
      </c>
      <c r="C15" s="8" t="s">
        <v>15</v>
      </c>
      <c r="D15" s="8"/>
      <c r="E15" s="8"/>
      <c r="F15" s="8"/>
      <c r="G15" s="8"/>
      <c r="H15" s="8"/>
    </row>
    <row r="16" customFormat="false" ht="19.5" hidden="false" customHeight="true" outlineLevel="0" collapsed="false">
      <c r="B16" s="7" t="s">
        <v>16</v>
      </c>
      <c r="C16" s="8" t="s">
        <v>17</v>
      </c>
      <c r="D16" s="8"/>
      <c r="E16" s="8"/>
      <c r="F16" s="8"/>
      <c r="G16" s="8"/>
      <c r="H16" s="8"/>
    </row>
    <row r="17" customFormat="false" ht="19.5" hidden="false" customHeight="true" outlineLevel="0" collapsed="false">
      <c r="B17" s="7" t="s">
        <v>18</v>
      </c>
      <c r="C17" s="8" t="s">
        <v>19</v>
      </c>
      <c r="D17" s="8"/>
      <c r="E17" s="8"/>
      <c r="F17" s="8"/>
      <c r="G17" s="8"/>
      <c r="H17" s="8"/>
    </row>
    <row r="18" customFormat="false" ht="19.5" hidden="false" customHeight="true" outlineLevel="0" collapsed="false">
      <c r="B18" s="7" t="s">
        <v>20</v>
      </c>
      <c r="C18" s="8" t="s">
        <v>21</v>
      </c>
      <c r="D18" s="8"/>
      <c r="E18" s="8"/>
      <c r="F18" s="8"/>
      <c r="G18" s="8"/>
      <c r="H18" s="8"/>
    </row>
    <row r="19" customFormat="false" ht="19.5" hidden="false" customHeight="true" outlineLevel="0" collapsed="false">
      <c r="B19" s="7" t="s">
        <v>22</v>
      </c>
      <c r="C19" s="8" t="s">
        <v>23</v>
      </c>
      <c r="D19" s="8"/>
      <c r="E19" s="8"/>
      <c r="F19" s="8"/>
      <c r="G19" s="8"/>
      <c r="H19" s="8"/>
    </row>
    <row r="22" customFormat="false" ht="17.35" hidden="false" customHeight="false" outlineLevel="0" collapsed="false">
      <c r="B22" s="6" t="s">
        <v>24</v>
      </c>
      <c r="C22" s="6"/>
      <c r="D22" s="6"/>
      <c r="E22" s="6"/>
      <c r="F22" s="6"/>
      <c r="G22" s="6"/>
      <c r="H22" s="6"/>
    </row>
    <row r="23" customFormat="false" ht="90" hidden="false" customHeight="true" outlineLevel="0" collapsed="false">
      <c r="B23" s="9" t="s">
        <v>25</v>
      </c>
      <c r="C23" s="9"/>
      <c r="D23" s="9"/>
      <c r="E23" s="9"/>
      <c r="F23" s="9"/>
      <c r="G23" s="9"/>
      <c r="H23" s="9"/>
    </row>
    <row r="25" customFormat="false" ht="17.35" hidden="false" customHeight="false" outlineLevel="0" collapsed="false">
      <c r="B25" s="6" t="s">
        <v>26</v>
      </c>
      <c r="C25" s="6"/>
      <c r="D25" s="6"/>
      <c r="E25" s="6"/>
      <c r="F25" s="6"/>
      <c r="G25" s="6"/>
      <c r="H25" s="6"/>
    </row>
    <row r="26" customFormat="false" ht="21.75" hidden="false" customHeight="true" outlineLevel="0" collapsed="false">
      <c r="B26" s="10" t="s">
        <v>27</v>
      </c>
      <c r="C26" s="10" t="s">
        <v>28</v>
      </c>
      <c r="D26" s="10"/>
      <c r="E26" s="10"/>
      <c r="F26" s="10"/>
      <c r="G26" s="10"/>
      <c r="H26" s="10"/>
    </row>
    <row r="27" customFormat="false" ht="19.5" hidden="false" customHeight="true" outlineLevel="0" collapsed="false">
      <c r="B27" s="11" t="s">
        <v>29</v>
      </c>
      <c r="C27" s="12" t="s">
        <v>30</v>
      </c>
      <c r="D27" s="12"/>
      <c r="E27" s="12"/>
      <c r="F27" s="12"/>
      <c r="G27" s="12"/>
      <c r="H27" s="12"/>
    </row>
    <row r="28" customFormat="false" ht="19.5" hidden="false" customHeight="true" outlineLevel="0" collapsed="false">
      <c r="B28" s="11" t="s">
        <v>31</v>
      </c>
      <c r="C28" s="12" t="s">
        <v>32</v>
      </c>
      <c r="D28" s="12"/>
      <c r="E28" s="12"/>
      <c r="F28" s="12"/>
      <c r="G28" s="12"/>
      <c r="H28" s="12"/>
    </row>
    <row r="29" customFormat="false" ht="19.5" hidden="false" customHeight="true" outlineLevel="0" collapsed="false">
      <c r="B29" s="11" t="s">
        <v>33</v>
      </c>
      <c r="C29" s="12" t="s">
        <v>34</v>
      </c>
      <c r="D29" s="12"/>
      <c r="E29" s="12"/>
      <c r="F29" s="12"/>
      <c r="G29" s="12"/>
      <c r="H29" s="12"/>
    </row>
    <row r="30" customFormat="false" ht="19.5" hidden="false" customHeight="true" outlineLevel="0" collapsed="false">
      <c r="B30" s="11" t="s">
        <v>35</v>
      </c>
      <c r="C30" s="12" t="s">
        <v>36</v>
      </c>
      <c r="D30" s="12"/>
      <c r="E30" s="12"/>
      <c r="F30" s="12"/>
      <c r="G30" s="12"/>
      <c r="H30" s="12"/>
    </row>
    <row r="31" customFormat="false" ht="19.5" hidden="false" customHeight="true" outlineLevel="0" collapsed="false">
      <c r="B31" s="11" t="s">
        <v>37</v>
      </c>
      <c r="C31" s="12" t="s">
        <v>38</v>
      </c>
      <c r="D31" s="12"/>
      <c r="E31" s="12"/>
      <c r="F31" s="12"/>
      <c r="G31" s="12"/>
      <c r="H31" s="12"/>
    </row>
    <row r="32" customFormat="false" ht="19.5" hidden="false" customHeight="true" outlineLevel="0" collapsed="false">
      <c r="B32" s="11" t="s">
        <v>39</v>
      </c>
      <c r="C32" s="12" t="s">
        <v>40</v>
      </c>
      <c r="D32" s="12"/>
      <c r="E32" s="12"/>
      <c r="F32" s="12"/>
      <c r="G32" s="12"/>
      <c r="H32" s="12"/>
    </row>
    <row r="34" customFormat="false" ht="17.35" hidden="false" customHeight="false" outlineLevel="0" collapsed="false">
      <c r="B34" s="6" t="s">
        <v>41</v>
      </c>
      <c r="C34" s="6"/>
      <c r="D34" s="6"/>
      <c r="E34" s="6"/>
      <c r="F34" s="6"/>
      <c r="G34" s="6"/>
      <c r="H34" s="6"/>
    </row>
    <row r="35" customFormat="false" ht="21.75" hidden="false" customHeight="true" outlineLevel="0" collapsed="false">
      <c r="B35" s="10" t="s">
        <v>42</v>
      </c>
      <c r="C35" s="10" t="s">
        <v>43</v>
      </c>
      <c r="D35" s="10"/>
      <c r="E35" s="10"/>
      <c r="F35" s="10"/>
      <c r="G35" s="10"/>
      <c r="H35" s="10"/>
    </row>
    <row r="36" customFormat="false" ht="21.75" hidden="false" customHeight="true" outlineLevel="0" collapsed="false">
      <c r="B36" s="13" t="s">
        <v>44</v>
      </c>
      <c r="C36" s="14" t="s">
        <v>45</v>
      </c>
      <c r="D36" s="14"/>
      <c r="E36" s="14"/>
      <c r="F36" s="14"/>
      <c r="G36" s="14"/>
      <c r="H36" s="14"/>
    </row>
    <row r="37" customFormat="false" ht="21.75" hidden="false" customHeight="true" outlineLevel="0" collapsed="false">
      <c r="B37" s="13" t="s">
        <v>46</v>
      </c>
      <c r="C37" s="14" t="s">
        <v>47</v>
      </c>
      <c r="D37" s="14"/>
      <c r="E37" s="14"/>
      <c r="F37" s="14"/>
      <c r="G37" s="14"/>
      <c r="H37" s="14"/>
    </row>
    <row r="38" customFormat="false" ht="21.75" hidden="false" customHeight="true" outlineLevel="0" collapsed="false">
      <c r="B38" s="13" t="s">
        <v>48</v>
      </c>
      <c r="C38" s="14" t="s">
        <v>49</v>
      </c>
      <c r="D38" s="14"/>
      <c r="E38" s="14"/>
      <c r="F38" s="14"/>
      <c r="G38" s="14"/>
      <c r="H38" s="14"/>
    </row>
    <row r="39" customFormat="false" ht="21.75" hidden="false" customHeight="true" outlineLevel="0" collapsed="false">
      <c r="B39" s="13" t="s">
        <v>50</v>
      </c>
      <c r="C39" s="14" t="s">
        <v>51</v>
      </c>
      <c r="D39" s="14"/>
      <c r="E39" s="14"/>
      <c r="F39" s="14"/>
      <c r="G39" s="14"/>
      <c r="H39" s="14"/>
    </row>
    <row r="40" customFormat="false" ht="21.75" hidden="false" customHeight="true" outlineLevel="0" collapsed="false">
      <c r="B40" s="13" t="s">
        <v>52</v>
      </c>
      <c r="C40" s="14" t="s">
        <v>53</v>
      </c>
      <c r="D40" s="14"/>
      <c r="E40" s="14"/>
      <c r="F40" s="14"/>
      <c r="G40" s="14"/>
      <c r="H40" s="14"/>
    </row>
    <row r="41" customFormat="false" ht="21.75" hidden="false" customHeight="true" outlineLevel="0" collapsed="false">
      <c r="B41" s="13" t="s">
        <v>54</v>
      </c>
      <c r="C41" s="14" t="s">
        <v>55</v>
      </c>
      <c r="D41" s="14"/>
      <c r="E41" s="14"/>
      <c r="F41" s="14"/>
      <c r="G41" s="14"/>
      <c r="H41" s="14"/>
    </row>
    <row r="42" customFormat="false" ht="21.75" hidden="false" customHeight="true" outlineLevel="0" collapsed="false">
      <c r="B42" s="13" t="s">
        <v>56</v>
      </c>
      <c r="C42" s="14" t="s">
        <v>57</v>
      </c>
      <c r="D42" s="14"/>
      <c r="E42" s="14"/>
      <c r="F42" s="14"/>
      <c r="G42" s="14"/>
      <c r="H42" s="14"/>
    </row>
    <row r="43" customFormat="false" ht="21.75" hidden="false" customHeight="true" outlineLevel="0" collapsed="false">
      <c r="B43" s="13" t="s">
        <v>58</v>
      </c>
      <c r="C43" s="14" t="s">
        <v>59</v>
      </c>
      <c r="D43" s="14"/>
      <c r="E43" s="14"/>
      <c r="F43" s="14"/>
      <c r="G43" s="14"/>
      <c r="H43" s="14"/>
    </row>
  </sheetData>
  <mergeCells count="34">
    <mergeCell ref="B3:H3"/>
    <mergeCell ref="B4:H4"/>
    <mergeCell ref="B5:H5"/>
    <mergeCell ref="B9:H9"/>
    <mergeCell ref="C10:H10"/>
    <mergeCell ref="C11:H11"/>
    <mergeCell ref="C12:H12"/>
    <mergeCell ref="C13:H13"/>
    <mergeCell ref="C14:H14"/>
    <mergeCell ref="C15:H15"/>
    <mergeCell ref="C16:H16"/>
    <mergeCell ref="C17:H17"/>
    <mergeCell ref="C18:H18"/>
    <mergeCell ref="C19:H19"/>
    <mergeCell ref="B22:H22"/>
    <mergeCell ref="B23:H23"/>
    <mergeCell ref="B25:H25"/>
    <mergeCell ref="C26:H26"/>
    <mergeCell ref="C27:H27"/>
    <mergeCell ref="C28:H28"/>
    <mergeCell ref="C29:H29"/>
    <mergeCell ref="C30:H30"/>
    <mergeCell ref="C31:H31"/>
    <mergeCell ref="C32:H32"/>
    <mergeCell ref="B34:H34"/>
    <mergeCell ref="C35:H35"/>
    <mergeCell ref="C36:H36"/>
    <mergeCell ref="C37:H37"/>
    <mergeCell ref="C38:H38"/>
    <mergeCell ref="C39:H39"/>
    <mergeCell ref="C40:H40"/>
    <mergeCell ref="C41:H41"/>
    <mergeCell ref="C42:H42"/>
    <mergeCell ref="C43:H43"/>
  </mergeCells>
  <printOptions headings="false" gridLines="false" gridLinesSet="true" horizontalCentered="true" verticalCentered="false"/>
  <pageMargins left="0.5" right="0.5" top="0.6" bottom="0.6"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5"/>
    <col collapsed="false" customWidth="true" hidden="false" outlineLevel="0" max="3" min="3" style="0" width="35"/>
    <col collapsed="false" customWidth="true" hidden="false" outlineLevel="0" max="8" min="4" style="0" width="8"/>
  </cols>
  <sheetData>
    <row r="1" customFormat="false" ht="15" hidden="false" customHeight="false" outlineLevel="0" collapsed="false">
      <c r="A1" s="15" t="s">
        <v>60</v>
      </c>
      <c r="B1" s="15"/>
      <c r="C1" s="15"/>
      <c r="D1" s="15"/>
      <c r="E1" s="16" t="s">
        <v>61</v>
      </c>
      <c r="F1" s="16"/>
      <c r="G1" s="16"/>
      <c r="H1" s="16"/>
    </row>
    <row r="2" customFormat="false" ht="15" hidden="false" customHeight="false" outlineLevel="0" collapsed="false">
      <c r="A2" s="17"/>
      <c r="B2" s="17"/>
      <c r="C2" s="17"/>
      <c r="D2" s="17"/>
      <c r="E2" s="17"/>
      <c r="F2" s="17"/>
      <c r="G2" s="17"/>
      <c r="H2" s="17"/>
    </row>
    <row r="3" customFormat="false" ht="27.75" hidden="false" customHeight="true" outlineLevel="0" collapsed="false">
      <c r="A3" s="3" t="s">
        <v>62</v>
      </c>
      <c r="B3" s="3"/>
      <c r="C3" s="3"/>
      <c r="D3" s="3"/>
      <c r="E3" s="3"/>
      <c r="F3" s="3"/>
      <c r="G3" s="3"/>
      <c r="H3" s="3"/>
    </row>
    <row r="4" customFormat="false" ht="15" hidden="false" customHeight="false" outlineLevel="0" collapsed="false">
      <c r="A4" s="18" t="s">
        <v>63</v>
      </c>
      <c r="B4" s="18"/>
      <c r="C4" s="18"/>
      <c r="D4" s="18"/>
      <c r="E4" s="18"/>
      <c r="F4" s="18"/>
      <c r="G4" s="18"/>
      <c r="H4" s="18"/>
    </row>
    <row r="6" customFormat="false" ht="19.5" hidden="false" customHeight="true" outlineLevel="0" collapsed="false">
      <c r="A6" s="19" t="s">
        <v>64</v>
      </c>
      <c r="B6" s="19"/>
      <c r="C6" s="19"/>
      <c r="D6" s="19"/>
      <c r="E6" s="19"/>
      <c r="F6" s="19"/>
      <c r="G6" s="19"/>
      <c r="H6" s="19"/>
    </row>
    <row r="7" customFormat="false" ht="55.5" hidden="false" customHeight="true" outlineLevel="0" collapsed="false">
      <c r="A7" s="9" t="s">
        <v>65</v>
      </c>
      <c r="B7" s="9"/>
      <c r="C7" s="9"/>
      <c r="D7" s="9"/>
      <c r="E7" s="9"/>
      <c r="F7" s="9"/>
      <c r="G7" s="9"/>
      <c r="H7" s="9"/>
    </row>
    <row r="8" customFormat="false" ht="6" hidden="false" customHeight="true" outlineLevel="0" collapsed="false"/>
    <row r="9" customFormat="false" ht="42" hidden="false" customHeight="true" outlineLevel="0" collapsed="false">
      <c r="A9" s="9" t="s">
        <v>66</v>
      </c>
      <c r="B9" s="9"/>
      <c r="C9" s="9"/>
      <c r="D9" s="9"/>
      <c r="E9" s="9"/>
      <c r="F9" s="9"/>
      <c r="G9" s="9"/>
      <c r="H9" s="9"/>
    </row>
    <row r="10" customFormat="false" ht="6" hidden="false" customHeight="true" outlineLevel="0" collapsed="false"/>
    <row r="11" customFormat="false" ht="69.75" hidden="false" customHeight="true" outlineLevel="0" collapsed="false">
      <c r="A11" s="9" t="s">
        <v>67</v>
      </c>
      <c r="B11" s="9"/>
      <c r="C11" s="9"/>
      <c r="D11" s="9"/>
      <c r="E11" s="9"/>
      <c r="F11" s="9"/>
      <c r="G11" s="9"/>
      <c r="H11" s="9"/>
    </row>
    <row r="13" customFormat="false" ht="18" hidden="false" customHeight="true" outlineLevel="0" collapsed="false">
      <c r="A13" s="19" t="s">
        <v>68</v>
      </c>
      <c r="B13" s="19"/>
      <c r="C13" s="19"/>
      <c r="D13" s="19"/>
      <c r="E13" s="19"/>
      <c r="F13" s="19"/>
      <c r="G13" s="19"/>
      <c r="H13" s="19"/>
    </row>
    <row r="14" customFormat="false" ht="21.75" hidden="false" customHeight="true" outlineLevel="0" collapsed="false">
      <c r="A14" s="10" t="s">
        <v>69</v>
      </c>
      <c r="B14" s="10" t="s">
        <v>70</v>
      </c>
      <c r="C14" s="10" t="s">
        <v>71</v>
      </c>
      <c r="D14" s="10"/>
      <c r="E14" s="10"/>
      <c r="F14" s="10"/>
      <c r="G14" s="10"/>
      <c r="H14" s="10"/>
    </row>
    <row r="15" customFormat="false" ht="49.5" hidden="false" customHeight="true" outlineLevel="0" collapsed="false">
      <c r="A15" s="20" t="s">
        <v>72</v>
      </c>
      <c r="B15" s="21" t="s">
        <v>73</v>
      </c>
      <c r="C15" s="22" t="s">
        <v>74</v>
      </c>
      <c r="D15" s="22"/>
      <c r="E15" s="22"/>
      <c r="F15" s="22"/>
      <c r="G15" s="22"/>
      <c r="H15" s="22"/>
    </row>
    <row r="16" customFormat="false" ht="49.5" hidden="false" customHeight="true" outlineLevel="0" collapsed="false">
      <c r="A16" s="20" t="s">
        <v>75</v>
      </c>
      <c r="B16" s="21" t="s">
        <v>76</v>
      </c>
      <c r="C16" s="22" t="s">
        <v>77</v>
      </c>
      <c r="D16" s="22"/>
      <c r="E16" s="22"/>
      <c r="F16" s="22"/>
      <c r="G16" s="22"/>
      <c r="H16" s="22"/>
    </row>
    <row r="17" customFormat="false" ht="49.5" hidden="false" customHeight="true" outlineLevel="0" collapsed="false">
      <c r="A17" s="20" t="s">
        <v>78</v>
      </c>
      <c r="B17" s="21" t="s">
        <v>79</v>
      </c>
      <c r="C17" s="22" t="s">
        <v>80</v>
      </c>
      <c r="D17" s="22"/>
      <c r="E17" s="22"/>
      <c r="F17" s="22"/>
      <c r="G17" s="22"/>
      <c r="H17" s="22"/>
    </row>
    <row r="19" customFormat="false" ht="19.5" hidden="false" customHeight="true" outlineLevel="0" collapsed="false">
      <c r="A19" s="19" t="s">
        <v>81</v>
      </c>
      <c r="B19" s="19"/>
      <c r="C19" s="19"/>
      <c r="D19" s="19"/>
      <c r="E19" s="19"/>
      <c r="F19" s="19"/>
      <c r="G19" s="19"/>
      <c r="H19" s="19"/>
    </row>
    <row r="20" customFormat="false" ht="27.75" hidden="false" customHeight="true" outlineLevel="0" collapsed="false">
      <c r="A20" s="9" t="s">
        <v>82</v>
      </c>
      <c r="B20" s="9"/>
      <c r="C20" s="9"/>
      <c r="D20" s="9"/>
      <c r="E20" s="9"/>
      <c r="F20" s="9"/>
      <c r="G20" s="9"/>
      <c r="H20" s="9"/>
    </row>
    <row r="21" customFormat="false" ht="6" hidden="false" customHeight="true" outlineLevel="0" collapsed="false"/>
    <row r="22" customFormat="false" ht="18" hidden="false" customHeight="true" outlineLevel="0" collapsed="false">
      <c r="A22" s="9" t="s">
        <v>83</v>
      </c>
      <c r="B22" s="9"/>
      <c r="C22" s="9"/>
      <c r="D22" s="9"/>
      <c r="E22" s="9"/>
      <c r="F22" s="9"/>
      <c r="G22" s="9"/>
      <c r="H22" s="9"/>
    </row>
    <row r="23" customFormat="false" ht="6" hidden="false" customHeight="true" outlineLevel="0" collapsed="false"/>
    <row r="24" customFormat="false" ht="55.5" hidden="false" customHeight="true" outlineLevel="0" collapsed="false">
      <c r="A24" s="9" t="s">
        <v>84</v>
      </c>
      <c r="B24" s="9"/>
      <c r="C24" s="9"/>
      <c r="D24" s="9"/>
      <c r="E24" s="9"/>
      <c r="F24" s="9"/>
      <c r="G24" s="9"/>
      <c r="H24" s="9"/>
    </row>
    <row r="25" customFormat="false" ht="6" hidden="false" customHeight="true" outlineLevel="0" collapsed="false"/>
    <row r="26" customFormat="false" ht="55.5" hidden="false" customHeight="true" outlineLevel="0" collapsed="false">
      <c r="A26" s="9" t="s">
        <v>85</v>
      </c>
      <c r="B26" s="9"/>
      <c r="C26" s="9"/>
      <c r="D26" s="9"/>
      <c r="E26" s="9"/>
      <c r="F26" s="9"/>
      <c r="G26" s="9"/>
      <c r="H26" s="9"/>
    </row>
    <row r="28" customFormat="false" ht="19.5" hidden="false" customHeight="true" outlineLevel="0" collapsed="false">
      <c r="A28" s="19" t="s">
        <v>86</v>
      </c>
      <c r="B28" s="19"/>
      <c r="C28" s="19"/>
      <c r="D28" s="19"/>
      <c r="E28" s="19"/>
      <c r="F28" s="19"/>
      <c r="G28" s="19"/>
      <c r="H28" s="19"/>
    </row>
    <row r="29" customFormat="false" ht="55.5" hidden="false" customHeight="true" outlineLevel="0" collapsed="false">
      <c r="A29" s="9" t="s">
        <v>87</v>
      </c>
      <c r="B29" s="9"/>
      <c r="C29" s="9"/>
      <c r="D29" s="9"/>
      <c r="E29" s="9"/>
      <c r="F29" s="9"/>
      <c r="G29" s="9"/>
      <c r="H29" s="9"/>
    </row>
    <row r="32" customFormat="false" ht="21.75" hidden="false" customHeight="true" outlineLevel="0" collapsed="false">
      <c r="A32" s="10" t="s">
        <v>88</v>
      </c>
      <c r="B32" s="10" t="s">
        <v>70</v>
      </c>
      <c r="C32" s="10"/>
      <c r="D32" s="10"/>
      <c r="E32" s="10"/>
      <c r="F32" s="10"/>
      <c r="G32" s="10"/>
    </row>
    <row r="33" customFormat="false" ht="90" hidden="false" customHeight="true" outlineLevel="0" collapsed="false">
      <c r="A33" s="20" t="s">
        <v>89</v>
      </c>
      <c r="B33" s="23" t="s">
        <v>90</v>
      </c>
      <c r="C33" s="23"/>
      <c r="D33" s="23"/>
      <c r="E33" s="23"/>
      <c r="F33" s="23"/>
      <c r="G33" s="23"/>
      <c r="H33" s="24" t="s">
        <v>91</v>
      </c>
    </row>
    <row r="34" customFormat="false" ht="90" hidden="false" customHeight="true" outlineLevel="0" collapsed="false">
      <c r="A34" s="20" t="s">
        <v>92</v>
      </c>
      <c r="B34" s="23" t="s">
        <v>93</v>
      </c>
      <c r="C34" s="23"/>
      <c r="D34" s="23"/>
      <c r="E34" s="23"/>
      <c r="F34" s="23"/>
      <c r="G34" s="23"/>
      <c r="H34" s="24" t="s">
        <v>94</v>
      </c>
    </row>
    <row r="35" customFormat="false" ht="90" hidden="false" customHeight="true" outlineLevel="0" collapsed="false">
      <c r="A35" s="20" t="s">
        <v>95</v>
      </c>
      <c r="B35" s="23" t="s">
        <v>96</v>
      </c>
      <c r="C35" s="23"/>
      <c r="D35" s="23"/>
      <c r="E35" s="23"/>
      <c r="F35" s="23"/>
      <c r="G35" s="23"/>
      <c r="H35" s="24" t="s">
        <v>97</v>
      </c>
    </row>
    <row r="36" customFormat="false" ht="90" hidden="false" customHeight="true" outlineLevel="0" collapsed="false">
      <c r="A36" s="20" t="s">
        <v>98</v>
      </c>
      <c r="B36" s="23" t="s">
        <v>99</v>
      </c>
      <c r="C36" s="23"/>
      <c r="D36" s="23"/>
      <c r="E36" s="23"/>
      <c r="F36" s="23"/>
      <c r="G36" s="23"/>
      <c r="H36" s="24" t="s">
        <v>100</v>
      </c>
    </row>
    <row r="37" customFormat="false" ht="19.5" hidden="false" customHeight="true" outlineLevel="0" collapsed="false">
      <c r="A37" s="19" t="s">
        <v>101</v>
      </c>
      <c r="B37" s="19"/>
      <c r="C37" s="19"/>
      <c r="D37" s="19"/>
      <c r="E37" s="19"/>
      <c r="F37" s="19"/>
      <c r="G37" s="19"/>
      <c r="H37" s="19"/>
    </row>
    <row r="38" customFormat="false" ht="55.5" hidden="false" customHeight="true" outlineLevel="0" collapsed="false">
      <c r="A38" s="9" t="s">
        <v>102</v>
      </c>
      <c r="B38" s="9"/>
      <c r="C38" s="9"/>
      <c r="D38" s="9"/>
      <c r="E38" s="9"/>
      <c r="F38" s="9"/>
      <c r="G38" s="9"/>
      <c r="H38" s="9"/>
    </row>
    <row r="41" customFormat="false" ht="21.75" hidden="false" customHeight="true" outlineLevel="0" collapsed="false">
      <c r="A41" s="10" t="s">
        <v>103</v>
      </c>
      <c r="B41" s="10" t="s">
        <v>104</v>
      </c>
      <c r="C41" s="10"/>
      <c r="D41" s="10"/>
      <c r="E41" s="25"/>
      <c r="F41" s="25"/>
      <c r="G41" s="25"/>
      <c r="H41" s="25"/>
    </row>
    <row r="42" customFormat="false" ht="37.5" hidden="false" customHeight="true" outlineLevel="0" collapsed="false">
      <c r="A42" s="20" t="s">
        <v>105</v>
      </c>
      <c r="B42" s="22" t="s">
        <v>106</v>
      </c>
      <c r="C42" s="22"/>
      <c r="D42" s="22"/>
      <c r="E42" s="22" t="s">
        <v>107</v>
      </c>
      <c r="F42" s="22"/>
      <c r="G42" s="22"/>
      <c r="H42" s="22"/>
    </row>
    <row r="43" customFormat="false" ht="37.5" hidden="false" customHeight="true" outlineLevel="0" collapsed="false">
      <c r="A43" s="20" t="s">
        <v>108</v>
      </c>
      <c r="B43" s="22" t="s">
        <v>109</v>
      </c>
      <c r="C43" s="22"/>
      <c r="D43" s="22"/>
      <c r="E43" s="22" t="s">
        <v>110</v>
      </c>
      <c r="F43" s="22"/>
      <c r="G43" s="22"/>
      <c r="H43" s="22"/>
    </row>
    <row r="44" customFormat="false" ht="37.5" hidden="false" customHeight="true" outlineLevel="0" collapsed="false">
      <c r="A44" s="20" t="s">
        <v>111</v>
      </c>
      <c r="B44" s="22" t="s">
        <v>112</v>
      </c>
      <c r="C44" s="22"/>
      <c r="D44" s="22"/>
      <c r="E44" s="22" t="s">
        <v>113</v>
      </c>
      <c r="F44" s="22"/>
      <c r="G44" s="22"/>
      <c r="H44" s="22"/>
    </row>
    <row r="45" customFormat="false" ht="37.5" hidden="false" customHeight="true" outlineLevel="0" collapsed="false">
      <c r="A45" s="20" t="s">
        <v>114</v>
      </c>
      <c r="B45" s="22" t="s">
        <v>115</v>
      </c>
      <c r="C45" s="22"/>
      <c r="D45" s="22"/>
      <c r="E45" s="22" t="s">
        <v>116</v>
      </c>
      <c r="F45" s="22"/>
      <c r="G45" s="22"/>
      <c r="H45" s="22"/>
    </row>
    <row r="47" customFormat="false" ht="19.5" hidden="false" customHeight="true" outlineLevel="0" collapsed="false">
      <c r="A47" s="19" t="s">
        <v>117</v>
      </c>
      <c r="B47" s="19"/>
      <c r="C47" s="19"/>
      <c r="D47" s="19"/>
      <c r="E47" s="19"/>
      <c r="F47" s="19"/>
      <c r="G47" s="19"/>
      <c r="H47" s="19"/>
    </row>
    <row r="48" customFormat="false" ht="42" hidden="false" customHeight="true" outlineLevel="0" collapsed="false">
      <c r="A48" s="9" t="s">
        <v>118</v>
      </c>
      <c r="B48" s="9"/>
      <c r="C48" s="9"/>
      <c r="D48" s="9"/>
      <c r="E48" s="9"/>
      <c r="F48" s="9"/>
      <c r="G48" s="9"/>
      <c r="H48" s="9"/>
    </row>
    <row r="51" customFormat="false" ht="21.75" hidden="false" customHeight="true" outlineLevel="0" collapsed="false">
      <c r="A51" s="10" t="s">
        <v>119</v>
      </c>
      <c r="B51" s="10" t="s">
        <v>120</v>
      </c>
      <c r="C51" s="10"/>
      <c r="D51" s="10"/>
      <c r="E51" s="10"/>
      <c r="F51" s="10"/>
      <c r="G51" s="10"/>
      <c r="H51" s="10"/>
    </row>
    <row r="52" customFormat="false" ht="25.5" hidden="false" customHeight="true" outlineLevel="0" collapsed="false">
      <c r="A52" s="26" t="s">
        <v>121</v>
      </c>
      <c r="B52" s="14" t="s">
        <v>122</v>
      </c>
      <c r="C52" s="14"/>
      <c r="D52" s="14"/>
      <c r="E52" s="14"/>
      <c r="F52" s="14"/>
      <c r="G52" s="14"/>
      <c r="H52" s="14"/>
    </row>
    <row r="53" customFormat="false" ht="25.5" hidden="false" customHeight="true" outlineLevel="0" collapsed="false">
      <c r="A53" s="13" t="s">
        <v>123</v>
      </c>
      <c r="B53" s="14" t="s">
        <v>124</v>
      </c>
      <c r="C53" s="14"/>
      <c r="D53" s="14"/>
      <c r="E53" s="14"/>
      <c r="F53" s="14"/>
      <c r="G53" s="14"/>
      <c r="H53" s="14"/>
    </row>
    <row r="54" customFormat="false" ht="25.5" hidden="false" customHeight="true" outlineLevel="0" collapsed="false">
      <c r="A54" s="27" t="s">
        <v>125</v>
      </c>
      <c r="B54" s="14" t="s">
        <v>126</v>
      </c>
      <c r="C54" s="14"/>
      <c r="D54" s="14"/>
      <c r="E54" s="14"/>
      <c r="F54" s="14"/>
      <c r="G54" s="14"/>
      <c r="H54" s="14"/>
    </row>
    <row r="55" customFormat="false" ht="25.5" hidden="false" customHeight="true" outlineLevel="0" collapsed="false">
      <c r="A55" s="28" t="s">
        <v>127</v>
      </c>
      <c r="B55" s="14" t="s">
        <v>128</v>
      </c>
      <c r="C55" s="14"/>
      <c r="D55" s="14"/>
      <c r="E55" s="14"/>
      <c r="F55" s="14"/>
      <c r="G55" s="14"/>
      <c r="H55" s="14"/>
    </row>
    <row r="56" customFormat="false" ht="25.5" hidden="false" customHeight="true" outlineLevel="0" collapsed="false">
      <c r="A56" s="29" t="s">
        <v>129</v>
      </c>
      <c r="B56" s="14" t="s">
        <v>130</v>
      </c>
      <c r="C56" s="14"/>
      <c r="D56" s="14"/>
      <c r="E56" s="14"/>
      <c r="F56" s="14"/>
      <c r="G56" s="14"/>
      <c r="H56" s="14"/>
    </row>
  </sheetData>
  <mergeCells count="45">
    <mergeCell ref="A1:D1"/>
    <mergeCell ref="E1:H1"/>
    <mergeCell ref="A3:H3"/>
    <mergeCell ref="A4:H4"/>
    <mergeCell ref="A6:H6"/>
    <mergeCell ref="A7:H7"/>
    <mergeCell ref="A9:H9"/>
    <mergeCell ref="A11:H11"/>
    <mergeCell ref="A13:H13"/>
    <mergeCell ref="C14:H14"/>
    <mergeCell ref="C15:H15"/>
    <mergeCell ref="C16:H16"/>
    <mergeCell ref="C17:H17"/>
    <mergeCell ref="A19:H19"/>
    <mergeCell ref="A20:H20"/>
    <mergeCell ref="A22:H22"/>
    <mergeCell ref="A24:H24"/>
    <mergeCell ref="A26:H26"/>
    <mergeCell ref="A28:H28"/>
    <mergeCell ref="A29:H29"/>
    <mergeCell ref="B32:G32"/>
    <mergeCell ref="B33:G33"/>
    <mergeCell ref="B34:G34"/>
    <mergeCell ref="B35:G35"/>
    <mergeCell ref="B36:G36"/>
    <mergeCell ref="A37:H37"/>
    <mergeCell ref="A38:H38"/>
    <mergeCell ref="B41:D41"/>
    <mergeCell ref="E41:H41"/>
    <mergeCell ref="B42:D42"/>
    <mergeCell ref="E42:H42"/>
    <mergeCell ref="B43:D43"/>
    <mergeCell ref="E43:H43"/>
    <mergeCell ref="B44:D44"/>
    <mergeCell ref="E44:H44"/>
    <mergeCell ref="B45:D45"/>
    <mergeCell ref="E45:H45"/>
    <mergeCell ref="A47:H47"/>
    <mergeCell ref="A48:H48"/>
    <mergeCell ref="B51:H51"/>
    <mergeCell ref="B52:H52"/>
    <mergeCell ref="B53:H53"/>
    <mergeCell ref="B54:H54"/>
    <mergeCell ref="B55:H55"/>
    <mergeCell ref="B56:H56"/>
  </mergeCells>
  <printOptions headings="false" gridLines="false" gridLinesSet="true" horizontalCentered="true" verticalCentered="false"/>
  <pageMargins left="0.5" right="0.5" top="0.6" bottom="0.6"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4"/>
    <col collapsed="false" customWidth="true" hidden="false" outlineLevel="0" max="3" min="3" style="0" width="10"/>
    <col collapsed="false" customWidth="true" hidden="false" outlineLevel="0" max="5" min="4" style="0" width="12"/>
    <col collapsed="false" customWidth="true" hidden="false" outlineLevel="0" max="6" min="6" style="0" width="30"/>
    <col collapsed="false" customWidth="true" hidden="false" outlineLevel="0" max="8" min="7" style="0" width="8"/>
  </cols>
  <sheetData>
    <row r="1" customFormat="false" ht="15" hidden="false" customHeight="false" outlineLevel="0" collapsed="false">
      <c r="A1" s="15" t="s">
        <v>60</v>
      </c>
      <c r="B1" s="15"/>
      <c r="C1" s="15"/>
      <c r="D1" s="15"/>
      <c r="E1" s="16" t="s">
        <v>61</v>
      </c>
      <c r="F1" s="16"/>
      <c r="G1" s="16"/>
      <c r="H1" s="16"/>
    </row>
    <row r="2" customFormat="false" ht="15" hidden="false" customHeight="false" outlineLevel="0" collapsed="false">
      <c r="A2" s="17"/>
      <c r="B2" s="17"/>
      <c r="C2" s="17"/>
      <c r="D2" s="17"/>
      <c r="E2" s="17"/>
      <c r="F2" s="17"/>
      <c r="G2" s="17"/>
      <c r="H2" s="17"/>
    </row>
    <row r="3" customFormat="false" ht="27.75" hidden="false" customHeight="true" outlineLevel="0" collapsed="false">
      <c r="A3" s="3" t="s">
        <v>131</v>
      </c>
      <c r="B3" s="3"/>
      <c r="C3" s="3"/>
      <c r="D3" s="3"/>
      <c r="E3" s="3"/>
      <c r="F3" s="3"/>
      <c r="G3" s="3"/>
      <c r="H3" s="3"/>
    </row>
    <row r="4" customFormat="false" ht="15" hidden="false" customHeight="false" outlineLevel="0" collapsed="false">
      <c r="A4" s="18" t="s">
        <v>132</v>
      </c>
      <c r="B4" s="18"/>
      <c r="C4" s="18"/>
      <c r="D4" s="18"/>
      <c r="E4" s="18"/>
      <c r="F4" s="18"/>
      <c r="G4" s="18"/>
      <c r="H4" s="18"/>
    </row>
    <row r="5" customFormat="false" ht="69.75" hidden="false" customHeight="true" outlineLevel="0" collapsed="false">
      <c r="A5" s="30" t="s">
        <v>133</v>
      </c>
      <c r="B5" s="30"/>
      <c r="C5" s="30"/>
      <c r="D5" s="30"/>
      <c r="E5" s="30"/>
      <c r="F5" s="30"/>
      <c r="G5" s="30"/>
      <c r="H5" s="30"/>
    </row>
    <row r="8" customFormat="false" ht="19.5" hidden="false" customHeight="true" outlineLevel="0" collapsed="false">
      <c r="A8" s="19" t="s">
        <v>134</v>
      </c>
      <c r="B8" s="19"/>
      <c r="C8" s="19"/>
      <c r="D8" s="19"/>
      <c r="E8" s="19"/>
      <c r="F8" s="19"/>
      <c r="G8" s="19"/>
      <c r="H8" s="19"/>
    </row>
    <row r="9" customFormat="false" ht="24" hidden="false" customHeight="true" outlineLevel="0" collapsed="false">
      <c r="A9" s="10" t="s">
        <v>135</v>
      </c>
      <c r="B9" s="10" t="s">
        <v>28</v>
      </c>
      <c r="C9" s="10" t="s">
        <v>136</v>
      </c>
      <c r="D9" s="10" t="s">
        <v>137</v>
      </c>
      <c r="E9" s="10"/>
      <c r="F9" s="10"/>
      <c r="G9" s="10"/>
      <c r="H9" s="10"/>
    </row>
    <row r="10" customFormat="false" ht="27.75" hidden="false" customHeight="true" outlineLevel="0" collapsed="false">
      <c r="A10" s="11" t="s">
        <v>138</v>
      </c>
      <c r="B10" s="31" t="n">
        <v>3084</v>
      </c>
      <c r="C10" s="32" t="s">
        <v>139</v>
      </c>
      <c r="D10" s="33" t="s">
        <v>140</v>
      </c>
      <c r="E10" s="33"/>
      <c r="F10" s="33"/>
      <c r="G10" s="33"/>
      <c r="H10" s="33"/>
    </row>
    <row r="11" customFormat="false" ht="27.75" hidden="false" customHeight="true" outlineLevel="0" collapsed="false">
      <c r="A11" s="11" t="s">
        <v>141</v>
      </c>
      <c r="B11" s="34" t="n">
        <v>15950000</v>
      </c>
      <c r="C11" s="32" t="s">
        <v>142</v>
      </c>
      <c r="D11" s="33" t="s">
        <v>143</v>
      </c>
      <c r="E11" s="33"/>
      <c r="F11" s="33"/>
      <c r="G11" s="33"/>
      <c r="H11" s="33"/>
    </row>
    <row r="12" customFormat="false" ht="27.75" hidden="false" customHeight="true" outlineLevel="0" collapsed="false">
      <c r="A12" s="11" t="s">
        <v>144</v>
      </c>
      <c r="B12" s="34" t="n">
        <v>21300000</v>
      </c>
      <c r="C12" s="32" t="s">
        <v>142</v>
      </c>
      <c r="D12" s="33" t="s">
        <v>145</v>
      </c>
      <c r="E12" s="33"/>
      <c r="F12" s="33"/>
      <c r="G12" s="33"/>
      <c r="H12" s="33"/>
    </row>
    <row r="13" customFormat="false" ht="27.75" hidden="false" customHeight="true" outlineLevel="0" collapsed="false">
      <c r="A13" s="11" t="s">
        <v>146</v>
      </c>
      <c r="B13" s="34" t="n">
        <v>16380</v>
      </c>
      <c r="C13" s="32" t="s">
        <v>147</v>
      </c>
      <c r="D13" s="33" t="s">
        <v>148</v>
      </c>
      <c r="E13" s="33"/>
      <c r="F13" s="33"/>
      <c r="G13" s="33"/>
      <c r="H13" s="33"/>
    </row>
    <row r="14" customFormat="false" ht="27.75" hidden="false" customHeight="true" outlineLevel="0" collapsed="false">
      <c r="A14" s="11" t="s">
        <v>149</v>
      </c>
      <c r="B14" s="34" t="n">
        <v>70640</v>
      </c>
      <c r="C14" s="32" t="s">
        <v>147</v>
      </c>
      <c r="D14" s="33" t="s">
        <v>150</v>
      </c>
      <c r="E14" s="33"/>
      <c r="F14" s="33"/>
      <c r="G14" s="33"/>
      <c r="H14" s="33"/>
    </row>
    <row r="15" customFormat="false" ht="27.75" hidden="false" customHeight="true" outlineLevel="0" collapsed="false">
      <c r="A15" s="11" t="s">
        <v>151</v>
      </c>
      <c r="B15" s="34" t="n">
        <v>2708</v>
      </c>
      <c r="C15" s="32" t="s">
        <v>147</v>
      </c>
      <c r="D15" s="33" t="s">
        <v>152</v>
      </c>
      <c r="E15" s="33"/>
      <c r="F15" s="33"/>
      <c r="G15" s="33"/>
      <c r="H15" s="33"/>
    </row>
    <row r="16" customFormat="false" ht="27.75" hidden="false" customHeight="true" outlineLevel="0" collapsed="false">
      <c r="A16" s="11" t="s">
        <v>153</v>
      </c>
      <c r="B16" s="34" t="n">
        <v>13672</v>
      </c>
      <c r="C16" s="32" t="s">
        <v>147</v>
      </c>
      <c r="D16" s="33" t="s">
        <v>154</v>
      </c>
      <c r="E16" s="33"/>
      <c r="F16" s="33"/>
      <c r="G16" s="33"/>
      <c r="H16" s="33"/>
    </row>
    <row r="18" customFormat="false" ht="19.5" hidden="false" customHeight="true" outlineLevel="0" collapsed="false">
      <c r="A18" s="19" t="s">
        <v>155</v>
      </c>
      <c r="B18" s="19"/>
      <c r="C18" s="19"/>
      <c r="D18" s="19"/>
      <c r="E18" s="19"/>
      <c r="F18" s="19"/>
      <c r="G18" s="19"/>
      <c r="H18" s="19"/>
    </row>
    <row r="19" customFormat="false" ht="15" hidden="false" customHeight="true" outlineLevel="0" collapsed="false">
      <c r="A19" s="35" t="s">
        <v>156</v>
      </c>
      <c r="B19" s="35"/>
      <c r="C19" s="35"/>
      <c r="D19" s="35"/>
      <c r="E19" s="35"/>
      <c r="F19" s="35"/>
      <c r="G19" s="35"/>
      <c r="H19" s="35"/>
    </row>
    <row r="20" customFormat="false" ht="30" hidden="false" customHeight="true" outlineLevel="0" collapsed="false">
      <c r="A20" s="10" t="s">
        <v>88</v>
      </c>
      <c r="B20" s="10" t="s">
        <v>157</v>
      </c>
      <c r="C20" s="10" t="s">
        <v>158</v>
      </c>
      <c r="D20" s="10" t="s">
        <v>159</v>
      </c>
      <c r="E20" s="10" t="s">
        <v>160</v>
      </c>
      <c r="F20" s="10" t="s">
        <v>161</v>
      </c>
      <c r="G20" s="10"/>
      <c r="H20" s="10"/>
    </row>
    <row r="21" customFormat="false" ht="42" hidden="false" customHeight="true" outlineLevel="0" collapsed="false">
      <c r="A21" s="13" t="s">
        <v>89</v>
      </c>
      <c r="B21" s="36" t="n">
        <v>17</v>
      </c>
      <c r="C21" s="37" t="n">
        <v>16380</v>
      </c>
      <c r="D21" s="38" t="n">
        <v>0.3</v>
      </c>
      <c r="E21" s="39" t="s">
        <v>162</v>
      </c>
      <c r="F21" s="40" t="s">
        <v>163</v>
      </c>
      <c r="G21" s="40"/>
      <c r="H21" s="40"/>
    </row>
    <row r="22" customFormat="false" ht="42" hidden="false" customHeight="true" outlineLevel="0" collapsed="false">
      <c r="A22" s="13" t="s">
        <v>164</v>
      </c>
      <c r="B22" s="36" t="n">
        <v>9</v>
      </c>
      <c r="C22" s="37" t="n">
        <v>70640</v>
      </c>
      <c r="D22" s="38" t="n">
        <v>0.3</v>
      </c>
      <c r="E22" s="39" t="s">
        <v>165</v>
      </c>
      <c r="F22" s="40" t="s">
        <v>166</v>
      </c>
      <c r="G22" s="40"/>
      <c r="H22" s="40"/>
    </row>
    <row r="23" customFormat="false" ht="42" hidden="false" customHeight="true" outlineLevel="0" collapsed="false">
      <c r="A23" s="13" t="s">
        <v>167</v>
      </c>
      <c r="B23" s="36" t="n">
        <v>127</v>
      </c>
      <c r="C23" s="37" t="n">
        <v>16380</v>
      </c>
      <c r="D23" s="38" t="n">
        <v>0.08</v>
      </c>
      <c r="E23" s="39" t="s">
        <v>168</v>
      </c>
      <c r="F23" s="40" t="s">
        <v>169</v>
      </c>
      <c r="G23" s="40"/>
      <c r="H23" s="40"/>
    </row>
    <row r="24" customFormat="false" ht="42" hidden="false" customHeight="true" outlineLevel="0" collapsed="false">
      <c r="A24" s="13" t="s">
        <v>170</v>
      </c>
      <c r="B24" s="36" t="n">
        <v>271</v>
      </c>
      <c r="C24" s="37" t="n">
        <v>13672</v>
      </c>
      <c r="D24" s="38" t="n">
        <v>0.04</v>
      </c>
      <c r="E24" s="39" t="s">
        <v>165</v>
      </c>
      <c r="F24" s="40" t="s">
        <v>171</v>
      </c>
      <c r="G24" s="40"/>
      <c r="H24" s="40"/>
    </row>
    <row r="26" customFormat="false" ht="19.5" hidden="false" customHeight="true" outlineLevel="0" collapsed="false">
      <c r="A26" s="19" t="s">
        <v>172</v>
      </c>
      <c r="B26" s="19"/>
      <c r="C26" s="19"/>
      <c r="D26" s="19"/>
      <c r="E26" s="19"/>
      <c r="F26" s="19"/>
      <c r="G26" s="19"/>
      <c r="H26" s="19"/>
    </row>
    <row r="27" customFormat="false" ht="15" hidden="false" customHeight="false" outlineLevel="0" collapsed="false">
      <c r="A27" s="41" t="s">
        <v>173</v>
      </c>
      <c r="B27" s="41"/>
      <c r="C27" s="41"/>
      <c r="D27" s="41"/>
      <c r="E27" s="41"/>
      <c r="F27" s="41"/>
      <c r="G27" s="41"/>
      <c r="H27" s="41"/>
    </row>
    <row r="28" customFormat="false" ht="21.75" hidden="false" customHeight="true" outlineLevel="0" collapsed="false">
      <c r="A28" s="10" t="s">
        <v>174</v>
      </c>
      <c r="B28" s="10" t="s">
        <v>175</v>
      </c>
      <c r="C28" s="10" t="s">
        <v>176</v>
      </c>
      <c r="D28" s="10"/>
      <c r="E28" s="10" t="s">
        <v>177</v>
      </c>
      <c r="F28" s="10"/>
      <c r="G28" s="10"/>
      <c r="H28" s="10"/>
    </row>
    <row r="29" customFormat="false" ht="21.75" hidden="false" customHeight="true" outlineLevel="0" collapsed="false">
      <c r="A29" s="11" t="s">
        <v>178</v>
      </c>
      <c r="B29" s="34" t="n">
        <v>55000</v>
      </c>
      <c r="C29" s="39" t="s">
        <v>179</v>
      </c>
      <c r="E29" s="33" t="s">
        <v>180</v>
      </c>
      <c r="F29" s="33"/>
      <c r="G29" s="33"/>
      <c r="H29" s="33"/>
    </row>
    <row r="30" customFormat="false" ht="21.75" hidden="false" customHeight="true" outlineLevel="0" collapsed="false">
      <c r="A30" s="11" t="s">
        <v>181</v>
      </c>
      <c r="B30" s="34" t="n">
        <v>50000</v>
      </c>
      <c r="C30" s="39" t="s">
        <v>179</v>
      </c>
      <c r="E30" s="33" t="s">
        <v>182</v>
      </c>
      <c r="F30" s="33"/>
      <c r="G30" s="33"/>
      <c r="H30" s="33"/>
    </row>
    <row r="31" customFormat="false" ht="21.75" hidden="false" customHeight="true" outlineLevel="0" collapsed="false">
      <c r="A31" s="11" t="s">
        <v>183</v>
      </c>
      <c r="B31" s="34" t="n">
        <v>55000</v>
      </c>
      <c r="C31" s="39" t="s">
        <v>179</v>
      </c>
      <c r="E31" s="33" t="s">
        <v>184</v>
      </c>
      <c r="F31" s="33"/>
      <c r="G31" s="33"/>
      <c r="H31" s="33"/>
    </row>
    <row r="32" customFormat="false" ht="21.75" hidden="false" customHeight="true" outlineLevel="0" collapsed="false">
      <c r="A32" s="11" t="s">
        <v>185</v>
      </c>
      <c r="B32" s="34" t="n">
        <v>50000</v>
      </c>
      <c r="C32" s="39" t="s">
        <v>179</v>
      </c>
      <c r="E32" s="33" t="s">
        <v>186</v>
      </c>
      <c r="F32" s="33"/>
      <c r="G32" s="33"/>
      <c r="H32" s="33"/>
    </row>
    <row r="33" customFormat="false" ht="21.75" hidden="false" customHeight="true" outlineLevel="0" collapsed="false">
      <c r="A33" s="11" t="s">
        <v>187</v>
      </c>
      <c r="B33" s="34" t="n">
        <v>3000</v>
      </c>
      <c r="C33" s="39" t="s">
        <v>179</v>
      </c>
      <c r="E33" s="33" t="s">
        <v>188</v>
      </c>
      <c r="F33" s="33"/>
      <c r="G33" s="33"/>
      <c r="H33" s="33"/>
    </row>
    <row r="34" customFormat="false" ht="21.75" hidden="false" customHeight="true" outlineLevel="0" collapsed="false">
      <c r="A34" s="11" t="s">
        <v>189</v>
      </c>
      <c r="B34" s="34" t="n">
        <v>3000</v>
      </c>
      <c r="C34" s="39" t="s">
        <v>179</v>
      </c>
      <c r="E34" s="33" t="s">
        <v>190</v>
      </c>
      <c r="F34" s="33"/>
      <c r="G34" s="33"/>
      <c r="H34" s="33"/>
    </row>
    <row r="35" customFormat="false" ht="21.75" hidden="false" customHeight="true" outlineLevel="0" collapsed="false">
      <c r="A35" s="11" t="s">
        <v>191</v>
      </c>
      <c r="B35" s="34" t="n">
        <v>6000</v>
      </c>
      <c r="C35" s="39" t="s">
        <v>179</v>
      </c>
      <c r="E35" s="33" t="s">
        <v>192</v>
      </c>
      <c r="F35" s="33"/>
      <c r="G35" s="33"/>
      <c r="H35" s="33"/>
    </row>
    <row r="36" customFormat="false" ht="21.75" hidden="false" customHeight="true" outlineLevel="0" collapsed="false">
      <c r="A36" s="11" t="s">
        <v>193</v>
      </c>
      <c r="B36" s="34" t="n">
        <v>100000</v>
      </c>
      <c r="C36" s="39" t="s">
        <v>194</v>
      </c>
      <c r="E36" s="33" t="s">
        <v>195</v>
      </c>
      <c r="F36" s="33"/>
      <c r="G36" s="33"/>
      <c r="H36" s="33"/>
    </row>
    <row r="37" customFormat="false" ht="21.75" hidden="false" customHeight="true" outlineLevel="0" collapsed="false">
      <c r="A37" s="11" t="s">
        <v>196</v>
      </c>
      <c r="B37" s="34" t="n">
        <v>15000</v>
      </c>
      <c r="C37" s="39" t="s">
        <v>194</v>
      </c>
      <c r="E37" s="33" t="s">
        <v>197</v>
      </c>
      <c r="F37" s="33"/>
      <c r="G37" s="33"/>
      <c r="H37" s="33"/>
    </row>
    <row r="38" customFormat="false" ht="21.75" hidden="false" customHeight="true" outlineLevel="0" collapsed="false">
      <c r="A38" s="11" t="s">
        <v>198</v>
      </c>
      <c r="B38" s="34" t="n">
        <v>25000</v>
      </c>
      <c r="C38" s="39" t="s">
        <v>194</v>
      </c>
      <c r="E38" s="33" t="s">
        <v>199</v>
      </c>
      <c r="F38" s="33"/>
      <c r="G38" s="33"/>
      <c r="H38" s="33"/>
    </row>
    <row r="39" customFormat="false" ht="21.75" hidden="false" customHeight="true" outlineLevel="0" collapsed="false">
      <c r="A39" s="11" t="s">
        <v>200</v>
      </c>
      <c r="B39" s="34" t="n">
        <v>25000</v>
      </c>
      <c r="C39" s="39" t="s">
        <v>194</v>
      </c>
      <c r="E39" s="33" t="s">
        <v>201</v>
      </c>
      <c r="F39" s="33"/>
      <c r="G39" s="33"/>
      <c r="H39" s="33"/>
    </row>
    <row r="40" customFormat="false" ht="21.75" hidden="false" customHeight="true" outlineLevel="0" collapsed="false">
      <c r="A40" s="11" t="s">
        <v>202</v>
      </c>
      <c r="B40" s="34" t="n">
        <v>60000</v>
      </c>
      <c r="C40" s="39" t="s">
        <v>194</v>
      </c>
      <c r="E40" s="33" t="s">
        <v>203</v>
      </c>
      <c r="F40" s="33"/>
      <c r="G40" s="33"/>
      <c r="H40" s="33"/>
    </row>
    <row r="41" customFormat="false" ht="21.75" hidden="false" customHeight="true" outlineLevel="0" collapsed="false">
      <c r="A41" s="11" t="s">
        <v>204</v>
      </c>
      <c r="B41" s="34" t="n">
        <v>35000</v>
      </c>
      <c r="C41" s="39" t="s">
        <v>194</v>
      </c>
      <c r="E41" s="33" t="s">
        <v>205</v>
      </c>
      <c r="F41" s="33"/>
      <c r="G41" s="33"/>
      <c r="H41" s="33"/>
    </row>
    <row r="42" customFormat="false" ht="21.75" hidden="false" customHeight="true" outlineLevel="0" collapsed="false">
      <c r="A42" s="42" t="s">
        <v>206</v>
      </c>
      <c r="B42" s="43" t="n">
        <f aca="false">SUM(3_Parametros!$B$29,3_Parametros!$B$30,3_Parametros!$B$31,3_Parametros!$B$32,3_Parametros!$B$33,3_Parametros!$B$34,3_Parametros!$B$35)</f>
        <v>222000</v>
      </c>
    </row>
    <row r="43" customFormat="false" ht="21.75" hidden="false" customHeight="true" outlineLevel="0" collapsed="false">
      <c r="A43" s="42" t="s">
        <v>207</v>
      </c>
      <c r="B43" s="43" t="n">
        <f aca="false">SUM(3_Parametros!$B$36,3_Parametros!$B$37,3_Parametros!$B$38,3_Parametros!$B$39,3_Parametros!$B$40,3_Parametros!$B$41)</f>
        <v>260000</v>
      </c>
    </row>
    <row r="44" customFormat="false" ht="21.75" hidden="false" customHeight="true" outlineLevel="0" collapsed="false">
      <c r="A44" s="44" t="s">
        <v>208</v>
      </c>
      <c r="B44" s="45" t="n">
        <f aca="false">B42+B43</f>
        <v>482000</v>
      </c>
    </row>
    <row r="46" customFormat="false" ht="19.5" hidden="false" customHeight="true" outlineLevel="0" collapsed="false">
      <c r="A46" s="19" t="s">
        <v>209</v>
      </c>
      <c r="B46" s="19"/>
      <c r="C46" s="19"/>
      <c r="D46" s="19"/>
      <c r="E46" s="19"/>
      <c r="F46" s="19"/>
      <c r="G46" s="19"/>
      <c r="H46" s="19"/>
    </row>
    <row r="47" customFormat="false" ht="39.75" hidden="false" customHeight="true" outlineLevel="0" collapsed="false">
      <c r="A47" s="11" t="s">
        <v>210</v>
      </c>
      <c r="B47" s="46" t="n">
        <v>0.08</v>
      </c>
      <c r="C47" s="47"/>
      <c r="E47" s="33" t="s">
        <v>211</v>
      </c>
      <c r="F47" s="33"/>
      <c r="G47" s="33"/>
      <c r="H47" s="33"/>
    </row>
  </sheetData>
  <mergeCells count="39">
    <mergeCell ref="A1:D1"/>
    <mergeCell ref="E1:H1"/>
    <mergeCell ref="A3:H3"/>
    <mergeCell ref="A4:H4"/>
    <mergeCell ref="A5:H5"/>
    <mergeCell ref="A8:H8"/>
    <mergeCell ref="D9:H9"/>
    <mergeCell ref="D10:H10"/>
    <mergeCell ref="D11:H11"/>
    <mergeCell ref="D12:H12"/>
    <mergeCell ref="D13:H13"/>
    <mergeCell ref="D14:H14"/>
    <mergeCell ref="D15:H15"/>
    <mergeCell ref="D16:H16"/>
    <mergeCell ref="A18:H18"/>
    <mergeCell ref="A19:H19"/>
    <mergeCell ref="F20:H20"/>
    <mergeCell ref="F21:H21"/>
    <mergeCell ref="F22:H22"/>
    <mergeCell ref="F23:H23"/>
    <mergeCell ref="F24:H24"/>
    <mergeCell ref="A26:H26"/>
    <mergeCell ref="A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A46:H46"/>
    <mergeCell ref="E47:H47"/>
  </mergeCells>
  <printOptions headings="false" gridLines="false" gridLinesSet="true" horizontalCentered="true" verticalCentered="false"/>
  <pageMargins left="0.5" right="0.5" top="0.6" bottom="0.6"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60"/>
    <col collapsed="false" customWidth="true" hidden="false" outlineLevel="0" max="8" min="4" style="0" width="8"/>
  </cols>
  <sheetData>
    <row r="1" customFormat="false" ht="15" hidden="false" customHeight="false" outlineLevel="0" collapsed="false">
      <c r="A1" s="15" t="s">
        <v>60</v>
      </c>
      <c r="B1" s="15"/>
      <c r="C1" s="15"/>
      <c r="D1" s="15"/>
      <c r="E1" s="16" t="s">
        <v>61</v>
      </c>
      <c r="F1" s="16"/>
      <c r="G1" s="16"/>
      <c r="H1" s="16"/>
    </row>
    <row r="2" customFormat="false" ht="15" hidden="false" customHeight="false" outlineLevel="0" collapsed="false">
      <c r="A2" s="17"/>
      <c r="B2" s="17"/>
      <c r="C2" s="17"/>
      <c r="D2" s="17"/>
      <c r="E2" s="17"/>
      <c r="F2" s="17"/>
      <c r="G2" s="17"/>
      <c r="H2" s="17"/>
    </row>
    <row r="3" customFormat="false" ht="27.75" hidden="false" customHeight="true" outlineLevel="0" collapsed="false">
      <c r="A3" s="3" t="s">
        <v>212</v>
      </c>
      <c r="B3" s="3"/>
      <c r="C3" s="3"/>
      <c r="D3" s="3"/>
      <c r="E3" s="3"/>
      <c r="F3" s="3"/>
      <c r="G3" s="3"/>
      <c r="H3" s="3"/>
    </row>
    <row r="4" customFormat="false" ht="15" hidden="false" customHeight="false" outlineLevel="0" collapsed="false">
      <c r="A4" s="18" t="s">
        <v>213</v>
      </c>
      <c r="B4" s="18"/>
      <c r="C4" s="18"/>
      <c r="D4" s="18"/>
      <c r="E4" s="18"/>
      <c r="F4" s="18"/>
      <c r="G4" s="18"/>
      <c r="H4" s="18"/>
    </row>
    <row r="5" customFormat="false" ht="69.75" hidden="false" customHeight="true" outlineLevel="0" collapsed="false">
      <c r="A5" s="30" t="s">
        <v>214</v>
      </c>
      <c r="B5" s="30"/>
      <c r="C5" s="30"/>
      <c r="D5" s="30"/>
      <c r="E5" s="30"/>
      <c r="F5" s="30"/>
      <c r="G5" s="30"/>
      <c r="H5" s="30"/>
    </row>
    <row r="7" customFormat="false" ht="19.5" hidden="false" customHeight="true" outlineLevel="0" collapsed="false">
      <c r="A7" s="19" t="s">
        <v>215</v>
      </c>
      <c r="B7" s="19"/>
      <c r="C7" s="19"/>
      <c r="D7" s="19"/>
      <c r="E7" s="19"/>
      <c r="F7" s="19"/>
      <c r="G7" s="19"/>
      <c r="H7" s="19"/>
    </row>
    <row r="8" customFormat="false" ht="21.75" hidden="false" customHeight="true" outlineLevel="0" collapsed="false">
      <c r="A8" s="10" t="s">
        <v>135</v>
      </c>
      <c r="B8" s="10" t="s">
        <v>216</v>
      </c>
      <c r="C8" s="10" t="s">
        <v>217</v>
      </c>
      <c r="D8" s="10"/>
      <c r="E8" s="10"/>
      <c r="F8" s="10"/>
      <c r="G8" s="10"/>
      <c r="H8" s="10"/>
    </row>
    <row r="9" customFormat="false" ht="24" hidden="false" customHeight="true" outlineLevel="0" collapsed="false">
      <c r="A9" s="11" t="s">
        <v>218</v>
      </c>
      <c r="B9" s="48" t="n">
        <f aca="false">3_Parametros!$B$11</f>
        <v>15950000</v>
      </c>
      <c r="C9" s="33" t="s">
        <v>219</v>
      </c>
      <c r="D9" s="33"/>
      <c r="E9" s="33"/>
      <c r="F9" s="33"/>
      <c r="G9" s="33"/>
      <c r="H9" s="33"/>
    </row>
    <row r="10" customFormat="false" ht="24" hidden="false" customHeight="true" outlineLevel="0" collapsed="false">
      <c r="A10" s="11" t="s">
        <v>220</v>
      </c>
      <c r="B10" s="48" t="n">
        <f aca="false">3_Parametros!$B$12</f>
        <v>21300000</v>
      </c>
      <c r="C10" s="33" t="s">
        <v>221</v>
      </c>
      <c r="D10" s="33"/>
      <c r="E10" s="33"/>
      <c r="F10" s="33"/>
      <c r="G10" s="33"/>
      <c r="H10" s="33"/>
    </row>
    <row r="11" customFormat="false" ht="24" hidden="false" customHeight="true" outlineLevel="0" collapsed="false">
      <c r="A11" s="42" t="s">
        <v>222</v>
      </c>
      <c r="B11" s="49" t="n">
        <f aca="false">3_Parametros!$B$11+3_Parametros!$B$12</f>
        <v>37250000</v>
      </c>
      <c r="C11" s="33" t="s">
        <v>223</v>
      </c>
      <c r="D11" s="33"/>
      <c r="E11" s="33"/>
      <c r="F11" s="33"/>
      <c r="G11" s="33"/>
      <c r="H11" s="33"/>
    </row>
    <row r="12" customFormat="false" ht="24" hidden="false" customHeight="true" outlineLevel="0" collapsed="false">
      <c r="A12" s="11" t="s">
        <v>224</v>
      </c>
      <c r="B12" s="50" t="n">
        <v>0</v>
      </c>
      <c r="C12" s="33" t="s">
        <v>225</v>
      </c>
      <c r="D12" s="33"/>
      <c r="E12" s="33"/>
      <c r="F12" s="33"/>
      <c r="G12" s="33"/>
      <c r="H12" s="33"/>
    </row>
    <row r="13" customFormat="false" ht="24" hidden="false" customHeight="true" outlineLevel="0" collapsed="false">
      <c r="A13" s="42" t="s">
        <v>226</v>
      </c>
      <c r="B13" s="49" t="n">
        <f aca="false">3_Parametros!$B$11+3_Parametros!$B$12</f>
        <v>37250000</v>
      </c>
      <c r="C13" s="33" t="s">
        <v>227</v>
      </c>
      <c r="D13" s="33"/>
      <c r="E13" s="33"/>
      <c r="F13" s="33"/>
      <c r="G13" s="33"/>
      <c r="H13" s="33"/>
    </row>
    <row r="15" customFormat="false" ht="55.5" hidden="false" customHeight="true" outlineLevel="0" collapsed="false">
      <c r="A15" s="30" t="s">
        <v>228</v>
      </c>
      <c r="B15" s="30"/>
      <c r="C15" s="30"/>
      <c r="D15" s="30"/>
      <c r="E15" s="30"/>
      <c r="F15" s="30"/>
      <c r="G15" s="30"/>
      <c r="H15" s="30"/>
    </row>
  </sheetData>
  <mergeCells count="13">
    <mergeCell ref="A1:D1"/>
    <mergeCell ref="E1:H1"/>
    <mergeCell ref="A3:H3"/>
    <mergeCell ref="A4:H4"/>
    <mergeCell ref="A5:H5"/>
    <mergeCell ref="A7:H7"/>
    <mergeCell ref="C8:H8"/>
    <mergeCell ref="C9:H9"/>
    <mergeCell ref="C10:H10"/>
    <mergeCell ref="C11:H11"/>
    <mergeCell ref="C12:H12"/>
    <mergeCell ref="C13:H13"/>
    <mergeCell ref="A15:H15"/>
  </mergeCells>
  <printOptions headings="false" gridLines="false" gridLinesSet="true" horizontalCentered="true" verticalCentered="false"/>
  <pageMargins left="0.5" right="0.5" top="0.6" bottom="0.6"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4"/>
    <col collapsed="false" customWidth="true" hidden="false" outlineLevel="0" max="5" min="4" style="0" width="16"/>
    <col collapsed="false" customWidth="true" hidden="false" outlineLevel="0" max="6" min="6" style="0" width="20"/>
    <col collapsed="false" customWidth="true" hidden="false" outlineLevel="0" max="7" min="7" style="0" width="14"/>
    <col collapsed="false" customWidth="true" hidden="false" outlineLevel="0" max="8" min="8" style="0" width="8"/>
  </cols>
  <sheetData>
    <row r="1" customFormat="false" ht="15" hidden="false" customHeight="false" outlineLevel="0" collapsed="false">
      <c r="A1" s="15" t="s">
        <v>60</v>
      </c>
      <c r="B1" s="15"/>
      <c r="C1" s="15"/>
      <c r="D1" s="15"/>
      <c r="E1" s="16" t="s">
        <v>61</v>
      </c>
      <c r="F1" s="16"/>
      <c r="G1" s="16"/>
      <c r="H1" s="16"/>
    </row>
    <row r="2" customFormat="false" ht="15" hidden="false" customHeight="false" outlineLevel="0" collapsed="false">
      <c r="A2" s="17"/>
      <c r="B2" s="17"/>
      <c r="C2" s="17"/>
      <c r="D2" s="17"/>
      <c r="E2" s="17"/>
      <c r="F2" s="17"/>
      <c r="G2" s="17"/>
      <c r="H2" s="17"/>
    </row>
    <row r="3" customFormat="false" ht="27.75" hidden="false" customHeight="true" outlineLevel="0" collapsed="false">
      <c r="A3" s="3" t="s">
        <v>229</v>
      </c>
      <c r="B3" s="3"/>
      <c r="C3" s="3"/>
      <c r="D3" s="3"/>
      <c r="E3" s="3"/>
      <c r="F3" s="3"/>
      <c r="G3" s="3"/>
      <c r="H3" s="3"/>
    </row>
    <row r="4" customFormat="false" ht="15" hidden="false" customHeight="false" outlineLevel="0" collapsed="false">
      <c r="A4" s="18" t="s">
        <v>230</v>
      </c>
      <c r="B4" s="18"/>
      <c r="C4" s="18"/>
      <c r="D4" s="18"/>
      <c r="E4" s="18"/>
      <c r="F4" s="18"/>
      <c r="G4" s="18"/>
      <c r="H4" s="18"/>
    </row>
    <row r="5" customFormat="false" ht="84" hidden="false" customHeight="true" outlineLevel="0" collapsed="false">
      <c r="A5" s="30" t="s">
        <v>231</v>
      </c>
      <c r="B5" s="30"/>
      <c r="C5" s="30"/>
      <c r="D5" s="30"/>
      <c r="E5" s="30"/>
      <c r="F5" s="30"/>
      <c r="G5" s="30"/>
      <c r="H5" s="30"/>
    </row>
    <row r="8" customFormat="false" ht="19.5" hidden="false" customHeight="true" outlineLevel="0" collapsed="false">
      <c r="A8" s="19" t="s">
        <v>232</v>
      </c>
      <c r="B8" s="19"/>
      <c r="C8" s="19"/>
      <c r="D8" s="19"/>
      <c r="E8" s="19"/>
      <c r="F8" s="19"/>
      <c r="G8" s="19"/>
      <c r="H8" s="19"/>
    </row>
    <row r="9" customFormat="false" ht="30" hidden="false" customHeight="true" outlineLevel="0" collapsed="false">
      <c r="A9" s="10" t="s">
        <v>233</v>
      </c>
      <c r="B9" s="10" t="s">
        <v>157</v>
      </c>
      <c r="C9" s="10" t="s">
        <v>159</v>
      </c>
      <c r="D9" s="10" t="s">
        <v>234</v>
      </c>
      <c r="E9" s="10" t="s">
        <v>235</v>
      </c>
      <c r="F9" s="10" t="s">
        <v>236</v>
      </c>
    </row>
    <row r="10" customFormat="false" ht="24" hidden="false" customHeight="true" outlineLevel="0" collapsed="false">
      <c r="A10" s="13" t="s">
        <v>89</v>
      </c>
      <c r="B10" s="51" t="n">
        <f aca="false">3_Parametros!$B$21</f>
        <v>17</v>
      </c>
      <c r="C10" s="52" t="n">
        <f aca="false">3_Parametros!$D$21</f>
        <v>0.3</v>
      </c>
      <c r="D10" s="53" t="n">
        <f aca="false">B10*C10</f>
        <v>5.1</v>
      </c>
      <c r="E10" s="48" t="n">
        <f aca="false">3_Parametros!$C$21</f>
        <v>16380</v>
      </c>
      <c r="F10" s="54" t="n">
        <f aca="false">D10*E10</f>
        <v>83538</v>
      </c>
    </row>
    <row r="11" customFormat="false" ht="24" hidden="false" customHeight="true" outlineLevel="0" collapsed="false">
      <c r="A11" s="13" t="s">
        <v>92</v>
      </c>
      <c r="B11" s="51" t="n">
        <f aca="false">3_Parametros!$B$22</f>
        <v>9</v>
      </c>
      <c r="C11" s="52" t="n">
        <f aca="false">3_Parametros!$D$22</f>
        <v>0.3</v>
      </c>
      <c r="D11" s="53" t="n">
        <f aca="false">B11*C11</f>
        <v>2.7</v>
      </c>
      <c r="E11" s="48" t="n">
        <f aca="false">3_Parametros!$C$22</f>
        <v>70640</v>
      </c>
      <c r="F11" s="54" t="n">
        <f aca="false">D11*E11</f>
        <v>190728</v>
      </c>
    </row>
    <row r="12" customFormat="false" ht="24" hidden="false" customHeight="true" outlineLevel="0" collapsed="false">
      <c r="A12" s="13" t="s">
        <v>167</v>
      </c>
      <c r="B12" s="51" t="n">
        <f aca="false">3_Parametros!$B$23</f>
        <v>127</v>
      </c>
      <c r="C12" s="52" t="n">
        <f aca="false">3_Parametros!$D$23</f>
        <v>0.08</v>
      </c>
      <c r="D12" s="53" t="n">
        <f aca="false">B12*C12</f>
        <v>10.16</v>
      </c>
      <c r="E12" s="48" t="n">
        <f aca="false">3_Parametros!$C$23</f>
        <v>16380</v>
      </c>
      <c r="F12" s="54" t="n">
        <f aca="false">D12*E12</f>
        <v>166420.8</v>
      </c>
    </row>
    <row r="13" customFormat="false" ht="24" hidden="false" customHeight="true" outlineLevel="0" collapsed="false">
      <c r="A13" s="13" t="s">
        <v>98</v>
      </c>
      <c r="B13" s="51" t="n">
        <f aca="false">3_Parametros!$B$24</f>
        <v>271</v>
      </c>
      <c r="C13" s="52" t="n">
        <f aca="false">3_Parametros!$D$24</f>
        <v>0.04</v>
      </c>
      <c r="D13" s="53" t="n">
        <f aca="false">B13*C13</f>
        <v>10.84</v>
      </c>
      <c r="E13" s="48" t="n">
        <f aca="false">3_Parametros!$C$24</f>
        <v>13672</v>
      </c>
      <c r="F13" s="54" t="n">
        <f aca="false">D13*E13</f>
        <v>148204.48</v>
      </c>
    </row>
    <row r="14" customFormat="false" ht="24" hidden="false" customHeight="true" outlineLevel="0" collapsed="false">
      <c r="A14" s="55" t="s">
        <v>237</v>
      </c>
      <c r="B14" s="55"/>
      <c r="C14" s="55"/>
      <c r="D14" s="55"/>
      <c r="E14" s="55"/>
      <c r="F14" s="45" t="n">
        <f aca="false">SUM(F10:F13)</f>
        <v>588891.28</v>
      </c>
    </row>
    <row r="16" customFormat="false" ht="19.5" hidden="false" customHeight="true" outlineLevel="0" collapsed="false">
      <c r="A16" s="19" t="s">
        <v>238</v>
      </c>
      <c r="B16" s="19"/>
      <c r="C16" s="19"/>
      <c r="D16" s="19"/>
      <c r="E16" s="19"/>
      <c r="F16" s="19"/>
      <c r="G16" s="19"/>
      <c r="H16" s="19"/>
    </row>
    <row r="17" customFormat="false" ht="25.5" hidden="false" customHeight="true" outlineLevel="0" collapsed="false">
      <c r="A17" s="11" t="s">
        <v>239</v>
      </c>
      <c r="B17" s="33" t="s">
        <v>240</v>
      </c>
      <c r="C17" s="33"/>
      <c r="D17" s="33"/>
      <c r="E17" s="33"/>
      <c r="F17" s="50" t="n">
        <f aca="false">F14</f>
        <v>588891.28</v>
      </c>
    </row>
    <row r="18" customFormat="false" ht="25.5" hidden="false" customHeight="true" outlineLevel="0" collapsed="false">
      <c r="A18" s="11" t="s">
        <v>37</v>
      </c>
      <c r="B18" s="33" t="s">
        <v>241</v>
      </c>
      <c r="C18" s="33"/>
      <c r="D18" s="33"/>
      <c r="E18" s="33"/>
      <c r="F18" s="50" t="n">
        <f aca="false">3_Parametros!$B$44</f>
        <v>482000</v>
      </c>
    </row>
    <row r="19" customFormat="false" ht="25.5" hidden="false" customHeight="true" outlineLevel="0" collapsed="false">
      <c r="A19" s="11" t="s">
        <v>242</v>
      </c>
      <c r="B19" s="33" t="s">
        <v>243</v>
      </c>
      <c r="C19" s="33"/>
      <c r="D19" s="33"/>
      <c r="E19" s="33"/>
      <c r="F19" s="50" t="n">
        <f aca="false">F17-F18</f>
        <v>106891.28</v>
      </c>
    </row>
    <row r="20" customFormat="false" ht="25.5" hidden="false" customHeight="true" outlineLevel="0" collapsed="false">
      <c r="A20" s="56" t="s">
        <v>244</v>
      </c>
      <c r="B20" s="33" t="s">
        <v>245</v>
      </c>
      <c r="C20" s="33"/>
      <c r="D20" s="33"/>
      <c r="E20" s="33"/>
      <c r="F20" s="57" t="n">
        <f aca="false">F19/F18</f>
        <v>0.221766141078838</v>
      </c>
    </row>
  </sheetData>
  <mergeCells count="12">
    <mergeCell ref="A1:D1"/>
    <mergeCell ref="E1:H1"/>
    <mergeCell ref="A3:H3"/>
    <mergeCell ref="A4:H4"/>
    <mergeCell ref="A5:H5"/>
    <mergeCell ref="A8:H8"/>
    <mergeCell ref="A14:E14"/>
    <mergeCell ref="A16:H16"/>
    <mergeCell ref="B17:E17"/>
    <mergeCell ref="B18:E18"/>
    <mergeCell ref="B19:E19"/>
    <mergeCell ref="B20:E20"/>
  </mergeCells>
  <printOptions headings="false" gridLines="false" gridLinesSet="true" horizontalCentered="true" verticalCentered="false"/>
  <pageMargins left="0.5" right="0.5" top="0.6" bottom="0.6"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2"/>
    <col collapsed="false" customWidth="true" hidden="false" outlineLevel="0" max="4" min="4" style="0" width="14"/>
    <col collapsed="false" customWidth="true" hidden="false" outlineLevel="0" max="5" min="5" style="0" width="12"/>
    <col collapsed="false" customWidth="true" hidden="false" outlineLevel="0" max="7" min="6" style="0" width="13"/>
    <col collapsed="false" customWidth="true" hidden="false" outlineLevel="0" max="8" min="8" style="0" width="14"/>
  </cols>
  <sheetData>
    <row r="1" customFormat="false" ht="15" hidden="false" customHeight="false" outlineLevel="0" collapsed="false">
      <c r="A1" s="15" t="s">
        <v>60</v>
      </c>
      <c r="B1" s="15"/>
      <c r="C1" s="15"/>
      <c r="D1" s="15"/>
      <c r="E1" s="16" t="s">
        <v>61</v>
      </c>
      <c r="F1" s="16"/>
      <c r="G1" s="16"/>
      <c r="H1" s="16"/>
    </row>
    <row r="2" customFormat="false" ht="15" hidden="false" customHeight="false" outlineLevel="0" collapsed="false">
      <c r="A2" s="17"/>
      <c r="B2" s="17"/>
      <c r="C2" s="17"/>
      <c r="D2" s="17"/>
      <c r="E2" s="17"/>
      <c r="F2" s="17"/>
      <c r="G2" s="17"/>
      <c r="H2" s="17"/>
    </row>
    <row r="3" customFormat="false" ht="27.75" hidden="false" customHeight="true" outlineLevel="0" collapsed="false">
      <c r="A3" s="3" t="s">
        <v>246</v>
      </c>
      <c r="B3" s="3"/>
      <c r="C3" s="3"/>
      <c r="D3" s="3"/>
      <c r="E3" s="3"/>
      <c r="F3" s="3"/>
      <c r="G3" s="3"/>
      <c r="H3" s="3"/>
    </row>
    <row r="4" customFormat="false" ht="15" hidden="false" customHeight="false" outlineLevel="0" collapsed="false">
      <c r="A4" s="18" t="s">
        <v>247</v>
      </c>
      <c r="B4" s="18"/>
      <c r="C4" s="18"/>
      <c r="D4" s="18"/>
      <c r="E4" s="18"/>
      <c r="F4" s="18"/>
      <c r="G4" s="18"/>
      <c r="H4" s="18"/>
    </row>
    <row r="5" customFormat="false" ht="97.5" hidden="false" customHeight="true" outlineLevel="0" collapsed="false">
      <c r="A5" s="30" t="s">
        <v>248</v>
      </c>
      <c r="B5" s="30"/>
      <c r="C5" s="30"/>
      <c r="D5" s="30"/>
      <c r="E5" s="30"/>
      <c r="F5" s="30"/>
      <c r="G5" s="30"/>
      <c r="H5" s="30"/>
    </row>
    <row r="8" customFormat="false" ht="19.5" hidden="false" customHeight="true" outlineLevel="0" collapsed="false">
      <c r="A8" s="19" t="s">
        <v>249</v>
      </c>
      <c r="B8" s="19"/>
      <c r="C8" s="19"/>
      <c r="D8" s="19"/>
      <c r="E8" s="19"/>
      <c r="F8" s="19"/>
      <c r="G8" s="19"/>
      <c r="H8" s="19"/>
    </row>
    <row r="9" customFormat="false" ht="30" hidden="false" customHeight="true" outlineLevel="0" collapsed="false">
      <c r="A9" s="10" t="s">
        <v>233</v>
      </c>
      <c r="B9" s="10" t="s">
        <v>157</v>
      </c>
      <c r="C9" s="10" t="s">
        <v>159</v>
      </c>
      <c r="D9" s="10" t="s">
        <v>234</v>
      </c>
      <c r="E9" s="10" t="s">
        <v>250</v>
      </c>
      <c r="F9" s="10" t="s">
        <v>251</v>
      </c>
      <c r="G9" s="10" t="s">
        <v>252</v>
      </c>
      <c r="H9" s="10" t="s">
        <v>236</v>
      </c>
    </row>
    <row r="10" customFormat="false" ht="24" hidden="false" customHeight="true" outlineLevel="0" collapsed="false">
      <c r="A10" s="13" t="s">
        <v>89</v>
      </c>
      <c r="B10" s="51" t="n">
        <f aca="false">3_Parametros!$B$21</f>
        <v>17</v>
      </c>
      <c r="C10" s="52" t="n">
        <f aca="false">3_Parametros!$D$21</f>
        <v>0.3</v>
      </c>
      <c r="D10" s="53" t="n">
        <f aca="false">B10*C10</f>
        <v>5.1</v>
      </c>
      <c r="E10" s="48" t="n">
        <f aca="false">3_Parametros!$C$21</f>
        <v>16380</v>
      </c>
      <c r="F10" s="58" t="n">
        <v>0</v>
      </c>
      <c r="G10" s="50" t="n">
        <f aca="false">E10*(1+F10)</f>
        <v>16380</v>
      </c>
      <c r="H10" s="54" t="n">
        <f aca="false">D10*G10</f>
        <v>83538</v>
      </c>
    </row>
    <row r="11" customFormat="false" ht="24" hidden="false" customHeight="true" outlineLevel="0" collapsed="false">
      <c r="A11" s="13" t="s">
        <v>92</v>
      </c>
      <c r="B11" s="51" t="n">
        <f aca="false">3_Parametros!$B$22</f>
        <v>9</v>
      </c>
      <c r="C11" s="52" t="n">
        <f aca="false">3_Parametros!$D$22</f>
        <v>0.3</v>
      </c>
      <c r="D11" s="53" t="n">
        <f aca="false">B11*C11</f>
        <v>2.7</v>
      </c>
      <c r="E11" s="48" t="n">
        <f aca="false">3_Parametros!$C$22</f>
        <v>70640</v>
      </c>
      <c r="F11" s="58" t="n">
        <v>0</v>
      </c>
      <c r="G11" s="50" t="n">
        <f aca="false">E11*(1+F11)</f>
        <v>70640</v>
      </c>
      <c r="H11" s="54" t="n">
        <f aca="false">D11*G11</f>
        <v>190728</v>
      </c>
    </row>
    <row r="12" customFormat="false" ht="24" hidden="false" customHeight="true" outlineLevel="0" collapsed="false">
      <c r="A12" s="13" t="s">
        <v>167</v>
      </c>
      <c r="B12" s="51" t="n">
        <f aca="false">3_Parametros!$B$23</f>
        <v>127</v>
      </c>
      <c r="C12" s="52" t="n">
        <f aca="false">3_Parametros!$D$23</f>
        <v>0.08</v>
      </c>
      <c r="D12" s="53" t="n">
        <f aca="false">B12*C12</f>
        <v>10.16</v>
      </c>
      <c r="E12" s="48" t="n">
        <f aca="false">3_Parametros!$C$23</f>
        <v>16380</v>
      </c>
      <c r="F12" s="52" t="n">
        <f aca="false">3_Parametros!$B$47</f>
        <v>0.08</v>
      </c>
      <c r="G12" s="50" t="n">
        <f aca="false">E12*(1+F12)</f>
        <v>17690.4</v>
      </c>
      <c r="H12" s="54" t="n">
        <f aca="false">D12*G12</f>
        <v>179734.464</v>
      </c>
    </row>
    <row r="13" customFormat="false" ht="24" hidden="false" customHeight="true" outlineLevel="0" collapsed="false">
      <c r="A13" s="13" t="s">
        <v>98</v>
      </c>
      <c r="B13" s="51" t="n">
        <f aca="false">3_Parametros!$B$24</f>
        <v>271</v>
      </c>
      <c r="C13" s="52" t="n">
        <f aca="false">3_Parametros!$D$24</f>
        <v>0.04</v>
      </c>
      <c r="D13" s="53" t="n">
        <f aca="false">B13*C13</f>
        <v>10.84</v>
      </c>
      <c r="E13" s="48" t="n">
        <f aca="false">3_Parametros!$C$24</f>
        <v>13672</v>
      </c>
      <c r="F13" s="52" t="n">
        <f aca="false">3_Parametros!$B$47</f>
        <v>0.08</v>
      </c>
      <c r="G13" s="50" t="n">
        <f aca="false">E13*(1+F13)</f>
        <v>14765.76</v>
      </c>
      <c r="H13" s="54" t="n">
        <f aca="false">D13*G13</f>
        <v>160060.8384</v>
      </c>
    </row>
    <row r="14" customFormat="false" ht="24" hidden="false" customHeight="true" outlineLevel="0" collapsed="false">
      <c r="A14" s="55" t="s">
        <v>237</v>
      </c>
      <c r="B14" s="55"/>
      <c r="C14" s="55"/>
      <c r="D14" s="55"/>
      <c r="E14" s="55"/>
      <c r="F14" s="55"/>
      <c r="G14" s="55"/>
      <c r="H14" s="45" t="n">
        <f aca="false">SUM(H10:H13)</f>
        <v>614061.3024</v>
      </c>
    </row>
    <row r="16" customFormat="false" ht="19.5" hidden="false" customHeight="true" outlineLevel="0" collapsed="false">
      <c r="A16" s="19" t="s">
        <v>253</v>
      </c>
      <c r="B16" s="19"/>
      <c r="C16" s="19"/>
      <c r="D16" s="19"/>
      <c r="E16" s="19"/>
      <c r="F16" s="19"/>
      <c r="G16" s="19"/>
      <c r="H16" s="19"/>
    </row>
    <row r="17" customFormat="false" ht="25.5" hidden="false" customHeight="true" outlineLevel="0" collapsed="false">
      <c r="A17" s="11" t="s">
        <v>239</v>
      </c>
      <c r="B17" s="33" t="s">
        <v>254</v>
      </c>
      <c r="C17" s="33"/>
      <c r="D17" s="33"/>
      <c r="E17" s="33"/>
      <c r="F17" s="33"/>
      <c r="G17" s="33"/>
      <c r="H17" s="50" t="n">
        <f aca="false">H14</f>
        <v>614061.3024</v>
      </c>
    </row>
    <row r="18" customFormat="false" ht="25.5" hidden="false" customHeight="true" outlineLevel="0" collapsed="false">
      <c r="A18" s="11" t="s">
        <v>37</v>
      </c>
      <c r="B18" s="33" t="s">
        <v>255</v>
      </c>
      <c r="C18" s="33"/>
      <c r="D18" s="33"/>
      <c r="E18" s="33"/>
      <c r="F18" s="33"/>
      <c r="G18" s="33"/>
      <c r="H18" s="50" t="n">
        <f aca="false">3_Parametros!$B$44</f>
        <v>482000</v>
      </c>
    </row>
    <row r="19" customFormat="false" ht="25.5" hidden="false" customHeight="true" outlineLevel="0" collapsed="false">
      <c r="A19" s="11" t="s">
        <v>242</v>
      </c>
      <c r="B19" s="33" t="s">
        <v>243</v>
      </c>
      <c r="C19" s="33"/>
      <c r="D19" s="33"/>
      <c r="E19" s="33"/>
      <c r="F19" s="33"/>
      <c r="G19" s="33"/>
      <c r="H19" s="50" t="n">
        <f aca="false">H17-H18</f>
        <v>132061.3024</v>
      </c>
    </row>
    <row r="20" customFormat="false" ht="25.5" hidden="false" customHeight="true" outlineLevel="0" collapsed="false">
      <c r="A20" s="56" t="s">
        <v>244</v>
      </c>
      <c r="B20" s="33" t="s">
        <v>245</v>
      </c>
      <c r="C20" s="33"/>
      <c r="D20" s="33"/>
      <c r="E20" s="33"/>
      <c r="F20" s="33"/>
      <c r="G20" s="33"/>
      <c r="H20" s="57" t="n">
        <f aca="false">H19/H18</f>
        <v>0.273986104564315</v>
      </c>
    </row>
  </sheetData>
  <mergeCells count="12">
    <mergeCell ref="A1:D1"/>
    <mergeCell ref="E1:H1"/>
    <mergeCell ref="A3:H3"/>
    <mergeCell ref="A4:H4"/>
    <mergeCell ref="A5:H5"/>
    <mergeCell ref="A8:H8"/>
    <mergeCell ref="A14:G14"/>
    <mergeCell ref="A16:H16"/>
    <mergeCell ref="B17:G17"/>
    <mergeCell ref="B18:G18"/>
    <mergeCell ref="B19:G19"/>
    <mergeCell ref="B20:G20"/>
  </mergeCells>
  <printOptions headings="false" gridLines="false" gridLinesSet="true" horizontalCentered="true" verticalCentered="false"/>
  <pageMargins left="0.5" right="0.5" top="0.6" bottom="0.6"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5" min="2" style="0" width="12"/>
    <col collapsed="false" customWidth="true" hidden="false" outlineLevel="0" max="8" min="6" style="0" width="14"/>
  </cols>
  <sheetData>
    <row r="1" customFormat="false" ht="15" hidden="false" customHeight="false" outlineLevel="0" collapsed="false">
      <c r="A1" s="15" t="s">
        <v>60</v>
      </c>
      <c r="B1" s="15"/>
      <c r="C1" s="15"/>
      <c r="D1" s="15"/>
      <c r="E1" s="16" t="s">
        <v>61</v>
      </c>
      <c r="F1" s="16"/>
      <c r="G1" s="16"/>
      <c r="H1" s="16"/>
    </row>
    <row r="2" customFormat="false" ht="15" hidden="false" customHeight="false" outlineLevel="0" collapsed="false">
      <c r="A2" s="17"/>
      <c r="B2" s="17"/>
      <c r="C2" s="17"/>
      <c r="D2" s="17"/>
      <c r="E2" s="17"/>
      <c r="F2" s="17"/>
      <c r="G2" s="17"/>
      <c r="H2" s="17"/>
    </row>
    <row r="3" customFormat="false" ht="27.75" hidden="false" customHeight="true" outlineLevel="0" collapsed="false">
      <c r="A3" s="3" t="s">
        <v>256</v>
      </c>
      <c r="B3" s="3"/>
      <c r="C3" s="3"/>
      <c r="D3" s="3"/>
      <c r="E3" s="3"/>
      <c r="F3" s="3"/>
      <c r="G3" s="3"/>
      <c r="H3" s="3"/>
    </row>
    <row r="4" customFormat="false" ht="15" hidden="false" customHeight="false" outlineLevel="0" collapsed="false">
      <c r="A4" s="18" t="s">
        <v>257</v>
      </c>
      <c r="B4" s="18"/>
      <c r="C4" s="18"/>
      <c r="D4" s="18"/>
      <c r="E4" s="18"/>
      <c r="F4" s="18"/>
      <c r="G4" s="18"/>
      <c r="H4" s="18"/>
    </row>
    <row r="5" customFormat="false" ht="69.75" hidden="false" customHeight="true" outlineLevel="0" collapsed="false">
      <c r="A5" s="30" t="s">
        <v>258</v>
      </c>
      <c r="B5" s="30"/>
      <c r="C5" s="30"/>
      <c r="D5" s="30"/>
      <c r="E5" s="30"/>
      <c r="F5" s="30"/>
      <c r="G5" s="30"/>
      <c r="H5" s="30"/>
    </row>
    <row r="7" customFormat="false" ht="19.5" hidden="false" customHeight="true" outlineLevel="0" collapsed="false">
      <c r="A7" s="19" t="s">
        <v>259</v>
      </c>
      <c r="B7" s="19"/>
      <c r="C7" s="19"/>
      <c r="D7" s="19"/>
      <c r="E7" s="19"/>
      <c r="F7" s="19"/>
      <c r="G7" s="19"/>
      <c r="H7" s="19"/>
    </row>
    <row r="8" customFormat="false" ht="21.75" hidden="false" customHeight="true" outlineLevel="0" collapsed="false">
      <c r="A8" s="10" t="s">
        <v>135</v>
      </c>
      <c r="B8" s="10" t="s">
        <v>260</v>
      </c>
      <c r="C8" s="10" t="s">
        <v>261</v>
      </c>
      <c r="D8" s="10" t="s">
        <v>262</v>
      </c>
      <c r="E8" s="10" t="s">
        <v>263</v>
      </c>
      <c r="F8" s="10" t="s">
        <v>264</v>
      </c>
      <c r="G8" s="10" t="s">
        <v>265</v>
      </c>
    </row>
    <row r="9" customFormat="false" ht="21.75" hidden="false" customHeight="true" outlineLevel="0" collapsed="false">
      <c r="A9" s="11" t="s">
        <v>266</v>
      </c>
      <c r="B9" s="34" t="n">
        <v>12000</v>
      </c>
      <c r="C9" s="50" t="n">
        <v>0</v>
      </c>
      <c r="D9" s="34" t="n">
        <v>10000</v>
      </c>
      <c r="E9" s="34" t="n">
        <v>8000</v>
      </c>
      <c r="F9" s="50" t="n">
        <f aca="false">SUM(B9:E9)</f>
        <v>30000</v>
      </c>
      <c r="G9" s="59" t="n">
        <f aca="false">F9/$F$18</f>
        <v>0.0726392251815981</v>
      </c>
    </row>
    <row r="10" customFormat="false" ht="21.75" hidden="false" customHeight="true" outlineLevel="0" collapsed="false">
      <c r="A10" s="11" t="s">
        <v>267</v>
      </c>
      <c r="B10" s="34" t="n">
        <v>25000</v>
      </c>
      <c r="C10" s="34" t="n">
        <v>25000</v>
      </c>
      <c r="D10" s="50" t="n">
        <v>0</v>
      </c>
      <c r="E10" s="50" t="n">
        <v>0</v>
      </c>
      <c r="F10" s="50" t="n">
        <f aca="false">SUM(B10:E10)</f>
        <v>50000</v>
      </c>
      <c r="G10" s="59" t="n">
        <f aca="false">F10/$F$18</f>
        <v>0.121065375302663</v>
      </c>
    </row>
    <row r="11" customFormat="false" ht="21.75" hidden="false" customHeight="true" outlineLevel="0" collapsed="false">
      <c r="A11" s="11" t="s">
        <v>268</v>
      </c>
      <c r="B11" s="50" t="n">
        <v>0</v>
      </c>
      <c r="C11" s="50" t="n">
        <v>0</v>
      </c>
      <c r="D11" s="34" t="n">
        <v>55000</v>
      </c>
      <c r="E11" s="50" t="n">
        <v>0</v>
      </c>
      <c r="F11" s="50" t="n">
        <f aca="false">SUM(B11:E11)</f>
        <v>55000</v>
      </c>
      <c r="G11" s="59" t="n">
        <f aca="false">F11/$F$18</f>
        <v>0.13317191283293</v>
      </c>
    </row>
    <row r="12" customFormat="false" ht="21.75" hidden="false" customHeight="true" outlineLevel="0" collapsed="false">
      <c r="A12" s="11" t="s">
        <v>269</v>
      </c>
      <c r="B12" s="50" t="n">
        <v>0</v>
      </c>
      <c r="C12" s="50" t="n">
        <v>0</v>
      </c>
      <c r="D12" s="50" t="n">
        <v>0</v>
      </c>
      <c r="E12" s="34" t="n">
        <v>50000</v>
      </c>
      <c r="F12" s="50" t="n">
        <f aca="false">SUM(B12:E12)</f>
        <v>50000</v>
      </c>
      <c r="G12" s="59" t="n">
        <f aca="false">F12/$F$18</f>
        <v>0.121065375302663</v>
      </c>
    </row>
    <row r="13" customFormat="false" ht="21.75" hidden="false" customHeight="true" outlineLevel="0" collapsed="false">
      <c r="A13" s="11" t="s">
        <v>270</v>
      </c>
      <c r="B13" s="50" t="n">
        <v>0</v>
      </c>
      <c r="C13" s="34" t="n">
        <v>25000</v>
      </c>
      <c r="D13" s="50" t="n">
        <v>0</v>
      </c>
      <c r="E13" s="50" t="n">
        <v>0</v>
      </c>
      <c r="F13" s="50" t="n">
        <f aca="false">SUM(B13:E13)</f>
        <v>25000</v>
      </c>
      <c r="G13" s="59" t="n">
        <f aca="false">F13/$F$18</f>
        <v>0.0605326876513317</v>
      </c>
    </row>
    <row r="14" customFormat="false" ht="21.75" hidden="false" customHeight="true" outlineLevel="0" collapsed="false">
      <c r="A14" s="11" t="s">
        <v>271</v>
      </c>
      <c r="B14" s="34" t="n">
        <v>8000</v>
      </c>
      <c r="C14" s="34" t="n">
        <v>15000</v>
      </c>
      <c r="D14" s="34" t="n">
        <v>40000</v>
      </c>
      <c r="E14" s="34" t="n">
        <v>35000</v>
      </c>
      <c r="F14" s="50" t="n">
        <f aca="false">SUM(B14:E14)</f>
        <v>98000</v>
      </c>
      <c r="G14" s="59" t="n">
        <f aca="false">F14/$F$18</f>
        <v>0.23728813559322</v>
      </c>
    </row>
    <row r="15" customFormat="false" ht="21.75" hidden="false" customHeight="true" outlineLevel="0" collapsed="false">
      <c r="A15" s="11" t="s">
        <v>272</v>
      </c>
      <c r="B15" s="34" t="n">
        <v>4000</v>
      </c>
      <c r="C15" s="34" t="n">
        <v>4000</v>
      </c>
      <c r="D15" s="34" t="n">
        <v>4000</v>
      </c>
      <c r="E15" s="34" t="n">
        <v>3000</v>
      </c>
      <c r="F15" s="50" t="n">
        <f aca="false">SUM(B15:E15)</f>
        <v>15000</v>
      </c>
      <c r="G15" s="59" t="n">
        <f aca="false">F15/$F$18</f>
        <v>0.036319612590799</v>
      </c>
    </row>
    <row r="16" customFormat="false" ht="21.75" hidden="false" customHeight="true" outlineLevel="0" collapsed="false">
      <c r="A16" s="11" t="s">
        <v>273</v>
      </c>
      <c r="B16" s="50" t="n">
        <v>0</v>
      </c>
      <c r="C16" s="34" t="n">
        <v>5000</v>
      </c>
      <c r="D16" s="50" t="n">
        <v>0</v>
      </c>
      <c r="E16" s="34" t="n">
        <v>25000</v>
      </c>
      <c r="F16" s="50" t="n">
        <f aca="false">SUM(B16:E16)</f>
        <v>30000</v>
      </c>
      <c r="G16" s="59" t="n">
        <f aca="false">F16/$F$18</f>
        <v>0.0726392251815981</v>
      </c>
    </row>
    <row r="17" customFormat="false" ht="21.75" hidden="false" customHeight="true" outlineLevel="0" collapsed="false">
      <c r="A17" s="11" t="s">
        <v>274</v>
      </c>
      <c r="B17" s="34" t="n">
        <v>10000</v>
      </c>
      <c r="C17" s="50" t="n">
        <v>0</v>
      </c>
      <c r="D17" s="34" t="n">
        <v>25000</v>
      </c>
      <c r="E17" s="34" t="n">
        <v>25000</v>
      </c>
      <c r="F17" s="50" t="n">
        <f aca="false">SUM(B17:E17)</f>
        <v>60000</v>
      </c>
      <c r="G17" s="59" t="n">
        <f aca="false">F17/$F$18</f>
        <v>0.145278450363196</v>
      </c>
    </row>
    <row r="18" customFormat="false" ht="24" hidden="false" customHeight="true" outlineLevel="0" collapsed="false">
      <c r="A18" s="60" t="s">
        <v>275</v>
      </c>
      <c r="B18" s="45" t="n">
        <f aca="false">SUM(B9:B17)</f>
        <v>59000</v>
      </c>
      <c r="C18" s="45" t="n">
        <f aca="false">SUM(C9:C17)</f>
        <v>74000</v>
      </c>
      <c r="D18" s="45" t="n">
        <f aca="false">SUM(D9:D17)</f>
        <v>134000</v>
      </c>
      <c r="E18" s="45" t="n">
        <f aca="false">SUM(E9:E17)</f>
        <v>146000</v>
      </c>
      <c r="F18" s="45" t="n">
        <f aca="false">SUM(B18:E18)</f>
        <v>413000</v>
      </c>
      <c r="G18" s="61" t="s">
        <v>276</v>
      </c>
    </row>
    <row r="20" customFormat="false" ht="19.5" hidden="false" customHeight="true" outlineLevel="0" collapsed="false">
      <c r="A20" s="19" t="s">
        <v>277</v>
      </c>
      <c r="B20" s="19"/>
      <c r="C20" s="19"/>
      <c r="D20" s="19"/>
      <c r="E20" s="19"/>
      <c r="F20" s="19"/>
      <c r="G20" s="19"/>
      <c r="H20" s="19"/>
    </row>
    <row r="21" customFormat="false" ht="21.75" hidden="false" customHeight="true" outlineLevel="0" collapsed="false">
      <c r="A21" s="10" t="s">
        <v>88</v>
      </c>
      <c r="B21" s="10" t="s">
        <v>234</v>
      </c>
      <c r="C21" s="10" t="s">
        <v>278</v>
      </c>
      <c r="D21" s="10" t="s">
        <v>279</v>
      </c>
      <c r="E21" s="10" t="s">
        <v>280</v>
      </c>
      <c r="F21" s="10" t="s">
        <v>281</v>
      </c>
      <c r="G21" s="10"/>
      <c r="H21" s="10" t="s">
        <v>282</v>
      </c>
    </row>
    <row r="22" customFormat="false" ht="24" hidden="false" customHeight="true" outlineLevel="0" collapsed="false">
      <c r="A22" s="13" t="s">
        <v>89</v>
      </c>
      <c r="B22" s="62" t="n">
        <f aca="false">3_Parametros!$B$21*3_Parametros!$D$21</f>
        <v>5.1</v>
      </c>
      <c r="C22" s="50" t="n">
        <f aca="false">B22*3_Parametros!$C$21</f>
        <v>83538</v>
      </c>
      <c r="D22" s="48" t="n">
        <f aca="false">7_Palancas!$B$18</f>
        <v>59000</v>
      </c>
      <c r="E22" s="50" t="n">
        <f aca="false">C22-D22</f>
        <v>24538</v>
      </c>
      <c r="F22" s="63" t="n">
        <f aca="false">IFERROR(E22/D22,0)</f>
        <v>0.415898305084746</v>
      </c>
      <c r="G22" s="64"/>
      <c r="H22" s="39" t="str">
        <f aca="false">IF(F22&lt;0,"Negativo en aislado",IF(F22&lt;0.15,"Bajo",IF(F22&lt;=0.3,"Defendible","Alto")))</f>
        <v>Alto</v>
      </c>
    </row>
    <row r="23" customFormat="false" ht="24" hidden="false" customHeight="true" outlineLevel="0" collapsed="false">
      <c r="A23" s="13" t="s">
        <v>92</v>
      </c>
      <c r="B23" s="62" t="n">
        <f aca="false">3_Parametros!$B$22*3_Parametros!$D$22</f>
        <v>2.7</v>
      </c>
      <c r="C23" s="50" t="n">
        <f aca="false">B23*3_Parametros!$C$22</f>
        <v>190728</v>
      </c>
      <c r="D23" s="48" t="n">
        <f aca="false">7_Palancas!$C$18</f>
        <v>74000</v>
      </c>
      <c r="E23" s="50" t="n">
        <f aca="false">C23-D23</f>
        <v>116728</v>
      </c>
      <c r="F23" s="63" t="n">
        <f aca="false">IFERROR(E23/D23,0)</f>
        <v>1.57740540540541</v>
      </c>
      <c r="G23" s="64"/>
      <c r="H23" s="39" t="str">
        <f aca="false">IF(F23&lt;0,"Negativo en aislado",IF(F23&lt;0.15,"Bajo",IF(F23&lt;=0.3,"Defendible","Alto")))</f>
        <v>Alto</v>
      </c>
    </row>
    <row r="24" customFormat="false" ht="24" hidden="false" customHeight="true" outlineLevel="0" collapsed="false">
      <c r="A24" s="13" t="s">
        <v>167</v>
      </c>
      <c r="B24" s="62" t="n">
        <f aca="false">3_Parametros!$B$23*3_Parametros!$D$23</f>
        <v>10.16</v>
      </c>
      <c r="C24" s="50" t="n">
        <f aca="false">B24*3_Parametros!$C$23</f>
        <v>166420.8</v>
      </c>
      <c r="D24" s="48" t="n">
        <f aca="false">7_Palancas!$D$18</f>
        <v>134000</v>
      </c>
      <c r="E24" s="50" t="n">
        <f aca="false">C24-D24</f>
        <v>32420.8</v>
      </c>
      <c r="F24" s="63" t="n">
        <f aca="false">IFERROR(E24/D24,0)</f>
        <v>0.241946268656716</v>
      </c>
      <c r="G24" s="64"/>
      <c r="H24" s="39" t="str">
        <f aca="false">IF(F24&lt;0,"Negativo en aislado",IF(F24&lt;0.15,"Bajo",IF(F24&lt;=0.3,"Defendible","Alto")))</f>
        <v>Defendible</v>
      </c>
    </row>
    <row r="25" customFormat="false" ht="24" hidden="false" customHeight="true" outlineLevel="0" collapsed="false">
      <c r="A25" s="13" t="s">
        <v>98</v>
      </c>
      <c r="B25" s="62" t="n">
        <f aca="false">3_Parametros!$B$24*3_Parametros!$D$24</f>
        <v>10.84</v>
      </c>
      <c r="C25" s="50" t="n">
        <f aca="false">B25*3_Parametros!$C$24</f>
        <v>148204.48</v>
      </c>
      <c r="D25" s="48" t="n">
        <f aca="false">7_Palancas!$E$18</f>
        <v>146000</v>
      </c>
      <c r="E25" s="50" t="n">
        <f aca="false">C25-D25</f>
        <v>2204.48000000001</v>
      </c>
      <c r="F25" s="63" t="n">
        <f aca="false">IFERROR(E25/D25,0)</f>
        <v>0.0150991780821919</v>
      </c>
      <c r="G25" s="64"/>
      <c r="H25" s="39" t="str">
        <f aca="false">IF(F25&lt;0,"Negativo en aislado",IF(F25&lt;0.15,"Bajo",IF(F25&lt;=0.3,"Defendible","Alto")))</f>
        <v>Bajo</v>
      </c>
    </row>
    <row r="27" customFormat="false" ht="97.5" hidden="false" customHeight="true" outlineLevel="0" collapsed="false">
      <c r="A27" s="30" t="s">
        <v>283</v>
      </c>
      <c r="B27" s="30"/>
      <c r="C27" s="30"/>
      <c r="D27" s="30"/>
      <c r="E27" s="30"/>
      <c r="F27" s="30"/>
      <c r="G27" s="30"/>
      <c r="H27" s="30"/>
    </row>
  </sheetData>
  <mergeCells count="8">
    <mergeCell ref="A1:D1"/>
    <mergeCell ref="E1:H1"/>
    <mergeCell ref="A3:H3"/>
    <mergeCell ref="A4:H4"/>
    <mergeCell ref="A5:H5"/>
    <mergeCell ref="A7:H7"/>
    <mergeCell ref="A20:H20"/>
    <mergeCell ref="A27:H27"/>
  </mergeCells>
  <printOptions headings="false" gridLines="false" gridLinesSet="true" horizontalCentered="true" verticalCentered="false"/>
  <pageMargins left="0.5" right="0.5" top="0.6" bottom="0.6"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5" min="2" style="0" width="12"/>
    <col collapsed="false" customWidth="true" hidden="false" outlineLevel="0" max="8" min="6" style="0" width="14"/>
  </cols>
  <sheetData>
    <row r="1" customFormat="false" ht="15" hidden="false" customHeight="false" outlineLevel="0" collapsed="false">
      <c r="A1" s="15" t="s">
        <v>60</v>
      </c>
      <c r="B1" s="15"/>
      <c r="C1" s="15"/>
      <c r="D1" s="15"/>
      <c r="E1" s="16" t="s">
        <v>61</v>
      </c>
      <c r="F1" s="16"/>
      <c r="G1" s="16"/>
      <c r="H1" s="16"/>
    </row>
    <row r="2" customFormat="false" ht="15" hidden="false" customHeight="false" outlineLevel="0" collapsed="false">
      <c r="A2" s="17"/>
      <c r="B2" s="17"/>
      <c r="C2" s="17"/>
      <c r="D2" s="17"/>
      <c r="E2" s="17"/>
      <c r="F2" s="17"/>
      <c r="G2" s="17"/>
      <c r="H2" s="17"/>
    </row>
    <row r="3" customFormat="false" ht="27.75" hidden="false" customHeight="true" outlineLevel="0" collapsed="false">
      <c r="A3" s="3" t="s">
        <v>284</v>
      </c>
      <c r="B3" s="3"/>
      <c r="C3" s="3"/>
      <c r="D3" s="3"/>
      <c r="E3" s="3"/>
      <c r="F3" s="3"/>
      <c r="G3" s="3"/>
      <c r="H3" s="3"/>
    </row>
    <row r="4" customFormat="false" ht="15" hidden="false" customHeight="false" outlineLevel="0" collapsed="false">
      <c r="A4" s="18" t="s">
        <v>285</v>
      </c>
      <c r="B4" s="18"/>
      <c r="C4" s="18"/>
      <c r="D4" s="18"/>
      <c r="E4" s="18"/>
      <c r="F4" s="18"/>
      <c r="G4" s="18"/>
      <c r="H4" s="18"/>
    </row>
    <row r="5" customFormat="false" ht="97.5" hidden="false" customHeight="true" outlineLevel="0" collapsed="false">
      <c r="A5" s="30" t="s">
        <v>286</v>
      </c>
      <c r="B5" s="30"/>
      <c r="C5" s="30"/>
      <c r="D5" s="30"/>
      <c r="E5" s="30"/>
      <c r="F5" s="30"/>
      <c r="G5" s="30"/>
      <c r="H5" s="30"/>
    </row>
    <row r="7" customFormat="false" ht="19.5" hidden="false" customHeight="true" outlineLevel="0" collapsed="false">
      <c r="A7" s="19" t="s">
        <v>287</v>
      </c>
      <c r="B7" s="19"/>
      <c r="C7" s="19"/>
      <c r="D7" s="19"/>
      <c r="E7" s="19"/>
      <c r="F7" s="19"/>
      <c r="G7" s="19"/>
      <c r="H7" s="19"/>
    </row>
    <row r="8" customFormat="false" ht="30" hidden="false" customHeight="true" outlineLevel="0" collapsed="false">
      <c r="A8" s="10" t="s">
        <v>288</v>
      </c>
      <c r="B8" s="10" t="s">
        <v>289</v>
      </c>
      <c r="C8" s="10" t="s">
        <v>290</v>
      </c>
      <c r="D8" s="10" t="s">
        <v>291</v>
      </c>
      <c r="E8" s="10" t="s">
        <v>292</v>
      </c>
      <c r="F8" s="10" t="s">
        <v>293</v>
      </c>
      <c r="G8" s="10" t="s">
        <v>290</v>
      </c>
    </row>
    <row r="9" customFormat="false" ht="24" hidden="false" customHeight="true" outlineLevel="0" collapsed="false">
      <c r="A9" s="13" t="s">
        <v>294</v>
      </c>
      <c r="B9" s="46" t="n">
        <v>0.15</v>
      </c>
      <c r="C9" s="59" t="n">
        <f aca="false">((3_Parametros!$B$21*B9*3_Parametros!$C$21)+(3_Parametros!$B$22*3_Parametros!$D$22*3_Parametros!$C$22)+(3_Parametros!$B$23*3_Parametros!$D$23*3_Parametros!$C$23)+(3_Parametros!$B$24*3_Parametros!$D$24*3_Parametros!$C$24)-3_Parametros!$B$44)/3_Parametros!$B$44</f>
        <v>0.13510846473029</v>
      </c>
      <c r="D9" s="46" t="n">
        <v>0.3</v>
      </c>
      <c r="E9" s="65" t="n">
        <f aca="false">((3_Parametros!$B$21*D9*3_Parametros!$C$21)+(3_Parametros!$B$22*3_Parametros!$D$22*3_Parametros!$C$22)+(3_Parametros!$B$23*3_Parametros!$D$23*3_Parametros!$C$23)+(3_Parametros!$B$24*3_Parametros!$D$24*3_Parametros!$C$24)-3_Parametros!$B$44)/3_Parametros!$B$44</f>
        <v>0.221766141078838</v>
      </c>
      <c r="F9" s="46" t="n">
        <v>0.45</v>
      </c>
      <c r="G9" s="59" t="n">
        <f aca="false">((3_Parametros!$B$21*F9*3_Parametros!$C$21)+(3_Parametros!$B$22*3_Parametros!$D$22*3_Parametros!$C$22)+(3_Parametros!$B$23*3_Parametros!$D$23*3_Parametros!$C$23)+(3_Parametros!$B$24*3_Parametros!$D$24*3_Parametros!$C$24)-3_Parametros!$B$44)/3_Parametros!$B$44</f>
        <v>0.308423817427386</v>
      </c>
    </row>
    <row r="10" customFormat="false" ht="24" hidden="false" customHeight="true" outlineLevel="0" collapsed="false">
      <c r="A10" s="13" t="s">
        <v>295</v>
      </c>
      <c r="B10" s="46" t="n">
        <v>0.15</v>
      </c>
      <c r="C10" s="59" t="n">
        <f aca="false">((3_Parametros!$B$21*3_Parametros!$D$21*3_Parametros!$C$21)+(3_Parametros!$B$22*B10*3_Parametros!$C$22)+(3_Parametros!$B$23*3_Parametros!$D$23*3_Parametros!$C$23)+(3_Parametros!$B$24*3_Parametros!$D$24*3_Parametros!$C$24)-3_Parametros!$B$44)/3_Parametros!$B$44</f>
        <v>0.0239155186721992</v>
      </c>
      <c r="D10" s="46" t="n">
        <v>0.3</v>
      </c>
      <c r="E10" s="65" t="n">
        <f aca="false">((3_Parametros!$B$21*3_Parametros!$D$21*3_Parametros!$C$21)+(3_Parametros!$B$22*D10*3_Parametros!$C$22)+(3_Parametros!$B$23*3_Parametros!$D$23*3_Parametros!$C$23)+(3_Parametros!$B$24*3_Parametros!$D$24*3_Parametros!$C$24)-3_Parametros!$B$44)/3_Parametros!$B$44</f>
        <v>0.221766141078838</v>
      </c>
      <c r="F10" s="46" t="n">
        <v>0.45</v>
      </c>
      <c r="G10" s="59" t="n">
        <f aca="false">((3_Parametros!$B$21*3_Parametros!$D$21*3_Parametros!$C$21)+(3_Parametros!$B$22*F10*3_Parametros!$C$22)+(3_Parametros!$B$23*3_Parametros!$D$23*3_Parametros!$C$23)+(3_Parametros!$B$24*3_Parametros!$D$24*3_Parametros!$C$24)-3_Parametros!$B$44)/3_Parametros!$B$44</f>
        <v>0.419616763485477</v>
      </c>
    </row>
    <row r="11" customFormat="false" ht="24" hidden="false" customHeight="true" outlineLevel="0" collapsed="false">
      <c r="A11" s="13" t="s">
        <v>296</v>
      </c>
      <c r="B11" s="46" t="n">
        <v>0.04</v>
      </c>
      <c r="C11" s="59" t="n">
        <f aca="false">((3_Parametros!$B$21*3_Parametros!$D$21*3_Parametros!$C$21)+(3_Parametros!$B$22*3_Parametros!$D$22*3_Parametros!$C$22)+(3_Parametros!$B$23*B11*3_Parametros!$C$23)+(3_Parametros!$B$24*3_Parametros!$D$24*3_Parametros!$C$24)-3_Parametros!$B$44)/3_Parametros!$B$44</f>
        <v>0.0491304564315353</v>
      </c>
      <c r="D11" s="46" t="n">
        <v>0.08</v>
      </c>
      <c r="E11" s="65" t="n">
        <f aca="false">((3_Parametros!$B$21*3_Parametros!$D$21*3_Parametros!$C$21)+(3_Parametros!$B$22*3_Parametros!$D$22*3_Parametros!$C$22)+(3_Parametros!$B$23*D11*3_Parametros!$C$23)+(3_Parametros!$B$24*3_Parametros!$D$24*3_Parametros!$C$24)-3_Parametros!$B$44)/3_Parametros!$B$44</f>
        <v>0.221766141078838</v>
      </c>
      <c r="F11" s="46" t="n">
        <v>0.15</v>
      </c>
      <c r="G11" s="59" t="n">
        <f aca="false">((3_Parametros!$B$21*3_Parametros!$D$21*3_Parametros!$C$21)+(3_Parametros!$B$22*3_Parametros!$D$22*3_Parametros!$C$22)+(3_Parametros!$B$23*F11*3_Parametros!$C$23)+(3_Parametros!$B$24*3_Parametros!$D$24*3_Parametros!$C$24)-3_Parametros!$B$44)/3_Parametros!$B$44</f>
        <v>0.523878589211618</v>
      </c>
    </row>
    <row r="12" customFormat="false" ht="24" hidden="false" customHeight="true" outlineLevel="0" collapsed="false">
      <c r="A12" s="13" t="s">
        <v>297</v>
      </c>
      <c r="B12" s="46" t="n">
        <v>0.02</v>
      </c>
      <c r="C12" s="59" t="n">
        <f aca="false">((3_Parametros!$B$21*3_Parametros!$D$21*3_Parametros!$C$21)+(3_Parametros!$B$22*3_Parametros!$D$22*3_Parametros!$C$22)+(3_Parametros!$B$23*3_Parametros!$D$23*3_Parametros!$C$23)+(3_Parametros!$B$24*B12*3_Parametros!$C$24)-3_Parametros!$B$44)/3_Parametros!$B$44</f>
        <v>0.0680270539419087</v>
      </c>
      <c r="D12" s="46" t="n">
        <v>0.04</v>
      </c>
      <c r="E12" s="65" t="n">
        <f aca="false">((3_Parametros!$B$21*3_Parametros!$D$21*3_Parametros!$C$21)+(3_Parametros!$B$22*3_Parametros!$D$22*3_Parametros!$C$22)+(3_Parametros!$B$23*3_Parametros!$D$23*3_Parametros!$C$23)+(3_Parametros!$B$24*D12*3_Parametros!$C$24)-3_Parametros!$B$44)/3_Parametros!$B$44</f>
        <v>0.221766141078838</v>
      </c>
      <c r="F12" s="46" t="n">
        <v>0.08</v>
      </c>
      <c r="G12" s="59" t="n">
        <f aca="false">((3_Parametros!$B$21*3_Parametros!$D$21*3_Parametros!$C$21)+(3_Parametros!$B$22*3_Parametros!$D$22*3_Parametros!$C$22)+(3_Parametros!$B$23*3_Parametros!$D$23*3_Parametros!$C$23)+(3_Parametros!$B$24*F12*3_Parametros!$C$24)-3_Parametros!$B$44)/3_Parametros!$B$44</f>
        <v>0.529244315352697</v>
      </c>
    </row>
    <row r="14" customFormat="false" ht="19.5" hidden="false" customHeight="true" outlineLevel="0" collapsed="false">
      <c r="A14" s="19" t="s">
        <v>298</v>
      </c>
      <c r="B14" s="19"/>
      <c r="C14" s="19"/>
      <c r="D14" s="19"/>
      <c r="E14" s="19"/>
      <c r="F14" s="19"/>
      <c r="G14" s="19"/>
      <c r="H14" s="19"/>
    </row>
    <row r="15" customFormat="false" ht="15" hidden="false" customHeight="false" outlineLevel="0" collapsed="false">
      <c r="A15" s="41" t="s">
        <v>299</v>
      </c>
      <c r="B15" s="41"/>
      <c r="C15" s="41"/>
      <c r="D15" s="41"/>
      <c r="E15" s="41"/>
      <c r="F15" s="41"/>
      <c r="G15" s="41"/>
      <c r="H15" s="41"/>
    </row>
    <row r="16" customFormat="false" ht="15" hidden="false" customHeight="false" outlineLevel="0" collapsed="false">
      <c r="A16" s="66" t="s">
        <v>300</v>
      </c>
      <c r="B16" s="67" t="n">
        <v>0.02</v>
      </c>
      <c r="C16" s="67" t="n">
        <v>0.04</v>
      </c>
      <c r="D16" s="67" t="n">
        <v>0.06</v>
      </c>
      <c r="E16" s="67" t="n">
        <v>0.08</v>
      </c>
      <c r="F16" s="67" t="n">
        <v>0.1</v>
      </c>
      <c r="G16" s="67" t="n">
        <v>0.12</v>
      </c>
    </row>
    <row r="17" customFormat="false" ht="15" hidden="false" customHeight="false" outlineLevel="0" collapsed="false">
      <c r="A17" s="67" t="n">
        <v>0.04</v>
      </c>
      <c r="B17" s="58" t="n">
        <f aca="false">((3_Parametros!$B$21*3_Parametros!$D$21*3_Parametros!$C$21)+(3_Parametros!$B$22*3_Parametros!$D$22*3_Parametros!$C$22)+(3_Parametros!$B$23*$A17*3_Parametros!$C$23)+(3_Parametros!$B$24*B$16*3_Parametros!$C$24)-3_Parametros!$B$44)/3_Parametros!$B$44</f>
        <v>-0.104608630705394</v>
      </c>
      <c r="C17" s="58" t="n">
        <f aca="false">((3_Parametros!$B$21*3_Parametros!$D$21*3_Parametros!$C$21)+(3_Parametros!$B$22*3_Parametros!$D$22*3_Parametros!$C$22)+(3_Parametros!$B$23*$A17*3_Parametros!$C$23)+(3_Parametros!$B$24*C$16*3_Parametros!$C$24)-3_Parametros!$B$44)/3_Parametros!$B$44</f>
        <v>0.0491304564315353</v>
      </c>
      <c r="D17" s="58" t="n">
        <f aca="false">((3_Parametros!$B$21*3_Parametros!$D$21*3_Parametros!$C$21)+(3_Parametros!$B$22*3_Parametros!$D$22*3_Parametros!$C$22)+(3_Parametros!$B$23*$A17*3_Parametros!$C$23)+(3_Parametros!$B$24*D$16*3_Parametros!$C$24)-3_Parametros!$B$44)/3_Parametros!$B$44</f>
        <v>0.202869543568465</v>
      </c>
      <c r="E17" s="58" t="n">
        <f aca="false">((3_Parametros!$B$21*3_Parametros!$D$21*3_Parametros!$C$21)+(3_Parametros!$B$22*3_Parametros!$D$22*3_Parametros!$C$22)+(3_Parametros!$B$23*$A17*3_Parametros!$C$23)+(3_Parametros!$B$24*E$16*3_Parametros!$C$24)-3_Parametros!$B$44)/3_Parametros!$B$44</f>
        <v>0.356608630705394</v>
      </c>
      <c r="F17" s="58" t="n">
        <f aca="false">((3_Parametros!$B$21*3_Parametros!$D$21*3_Parametros!$C$21)+(3_Parametros!$B$22*3_Parametros!$D$22*3_Parametros!$C$22)+(3_Parametros!$B$23*$A17*3_Parametros!$C$23)+(3_Parametros!$B$24*F$16*3_Parametros!$C$24)-3_Parametros!$B$44)/3_Parametros!$B$44</f>
        <v>0.510347717842324</v>
      </c>
      <c r="G17" s="58" t="n">
        <f aca="false">((3_Parametros!$B$21*3_Parametros!$D$21*3_Parametros!$C$21)+(3_Parametros!$B$22*3_Parametros!$D$22*3_Parametros!$C$22)+(3_Parametros!$B$23*$A17*3_Parametros!$C$23)+(3_Parametros!$B$24*G$16*3_Parametros!$C$24)-3_Parametros!$B$44)/3_Parametros!$B$44</f>
        <v>0.664086804979253</v>
      </c>
    </row>
    <row r="18" customFormat="false" ht="15" hidden="false" customHeight="false" outlineLevel="0" collapsed="false">
      <c r="A18" s="67" t="n">
        <v>0.06</v>
      </c>
      <c r="B18" s="58" t="n">
        <f aca="false">((3_Parametros!$B$21*3_Parametros!$D$21*3_Parametros!$C$21)+(3_Parametros!$B$22*3_Parametros!$D$22*3_Parametros!$C$22)+(3_Parametros!$B$23*$A18*3_Parametros!$C$23)+(3_Parametros!$B$24*B$16*3_Parametros!$C$24)-3_Parametros!$B$44)/3_Parametros!$B$44</f>
        <v>-0.0182907883817428</v>
      </c>
      <c r="C18" s="58" t="n">
        <f aca="false">((3_Parametros!$B$21*3_Parametros!$D$21*3_Parametros!$C$21)+(3_Parametros!$B$22*3_Parametros!$D$22*3_Parametros!$C$22)+(3_Parametros!$B$23*$A18*3_Parametros!$C$23)+(3_Parametros!$B$24*C$16*3_Parametros!$C$24)-3_Parametros!$B$44)/3_Parametros!$B$44</f>
        <v>0.135448298755187</v>
      </c>
      <c r="D18" s="58" t="n">
        <f aca="false">((3_Parametros!$B$21*3_Parametros!$D$21*3_Parametros!$C$21)+(3_Parametros!$B$22*3_Parametros!$D$22*3_Parametros!$C$22)+(3_Parametros!$B$23*$A18*3_Parametros!$C$23)+(3_Parametros!$B$24*D$16*3_Parametros!$C$24)-3_Parametros!$B$44)/3_Parametros!$B$44</f>
        <v>0.289187385892116</v>
      </c>
      <c r="E18" s="58" t="n">
        <f aca="false">((3_Parametros!$B$21*3_Parametros!$D$21*3_Parametros!$C$21)+(3_Parametros!$B$22*3_Parametros!$D$22*3_Parametros!$C$22)+(3_Parametros!$B$23*$A18*3_Parametros!$C$23)+(3_Parametros!$B$24*E$16*3_Parametros!$C$24)-3_Parametros!$B$44)/3_Parametros!$B$44</f>
        <v>0.442926473029046</v>
      </c>
      <c r="F18" s="58" t="n">
        <f aca="false">((3_Parametros!$B$21*3_Parametros!$D$21*3_Parametros!$C$21)+(3_Parametros!$B$22*3_Parametros!$D$22*3_Parametros!$C$22)+(3_Parametros!$B$23*$A18*3_Parametros!$C$23)+(3_Parametros!$B$24*F$16*3_Parametros!$C$24)-3_Parametros!$B$44)/3_Parametros!$B$44</f>
        <v>0.596665560165975</v>
      </c>
      <c r="G18" s="58" t="n">
        <f aca="false">((3_Parametros!$B$21*3_Parametros!$D$21*3_Parametros!$C$21)+(3_Parametros!$B$22*3_Parametros!$D$22*3_Parametros!$C$22)+(3_Parametros!$B$23*$A18*3_Parametros!$C$23)+(3_Parametros!$B$24*G$16*3_Parametros!$C$24)-3_Parametros!$B$44)/3_Parametros!$B$44</f>
        <v>0.750404647302904</v>
      </c>
    </row>
    <row r="19" customFormat="false" ht="15" hidden="false" customHeight="false" outlineLevel="0" collapsed="false">
      <c r="A19" s="67" t="n">
        <v>0.08</v>
      </c>
      <c r="B19" s="58" t="n">
        <f aca="false">((3_Parametros!$B$21*3_Parametros!$D$21*3_Parametros!$C$21)+(3_Parametros!$B$22*3_Parametros!$D$22*3_Parametros!$C$22)+(3_Parametros!$B$23*$A19*3_Parametros!$C$23)+(3_Parametros!$B$24*B$16*3_Parametros!$C$24)-3_Parametros!$B$44)/3_Parametros!$B$44</f>
        <v>0.0680270539419087</v>
      </c>
      <c r="C19" s="58" t="n">
        <f aca="false">((3_Parametros!$B$21*3_Parametros!$D$21*3_Parametros!$C$21)+(3_Parametros!$B$22*3_Parametros!$D$22*3_Parametros!$C$22)+(3_Parametros!$B$23*$A19*3_Parametros!$C$23)+(3_Parametros!$B$24*C$16*3_Parametros!$C$24)-3_Parametros!$B$44)/3_Parametros!$B$44</f>
        <v>0.221766141078838</v>
      </c>
      <c r="D19" s="58" t="n">
        <f aca="false">((3_Parametros!$B$21*3_Parametros!$D$21*3_Parametros!$C$21)+(3_Parametros!$B$22*3_Parametros!$D$22*3_Parametros!$C$22)+(3_Parametros!$B$23*$A19*3_Parametros!$C$23)+(3_Parametros!$B$24*D$16*3_Parametros!$C$24)-3_Parametros!$B$44)/3_Parametros!$B$44</f>
        <v>0.375505228215768</v>
      </c>
      <c r="E19" s="58" t="n">
        <f aca="false">((3_Parametros!$B$21*3_Parametros!$D$21*3_Parametros!$C$21)+(3_Parametros!$B$22*3_Parametros!$D$22*3_Parametros!$C$22)+(3_Parametros!$B$23*$A19*3_Parametros!$C$23)+(3_Parametros!$B$24*E$16*3_Parametros!$C$24)-3_Parametros!$B$44)/3_Parametros!$B$44</f>
        <v>0.529244315352697</v>
      </c>
      <c r="F19" s="58" t="n">
        <f aca="false">((3_Parametros!$B$21*3_Parametros!$D$21*3_Parametros!$C$21)+(3_Parametros!$B$22*3_Parametros!$D$22*3_Parametros!$C$22)+(3_Parametros!$B$23*$A19*3_Parametros!$C$23)+(3_Parametros!$B$24*F$16*3_Parametros!$C$24)-3_Parametros!$B$44)/3_Parametros!$B$44</f>
        <v>0.682983402489627</v>
      </c>
      <c r="G19" s="58" t="n">
        <f aca="false">((3_Parametros!$B$21*3_Parametros!$D$21*3_Parametros!$C$21)+(3_Parametros!$B$22*3_Parametros!$D$22*3_Parametros!$C$22)+(3_Parametros!$B$23*$A19*3_Parametros!$C$23)+(3_Parametros!$B$24*G$16*3_Parametros!$C$24)-3_Parametros!$B$44)/3_Parametros!$B$44</f>
        <v>0.836722489626556</v>
      </c>
    </row>
    <row r="20" customFormat="false" ht="15" hidden="false" customHeight="false" outlineLevel="0" collapsed="false">
      <c r="A20" s="67" t="n">
        <v>0.1</v>
      </c>
      <c r="B20" s="58" t="n">
        <f aca="false">((3_Parametros!$B$21*3_Parametros!$D$21*3_Parametros!$C$21)+(3_Parametros!$B$22*3_Parametros!$D$22*3_Parametros!$C$22)+(3_Parametros!$B$23*$A20*3_Parametros!$C$23)+(3_Parametros!$B$24*B$16*3_Parametros!$C$24)-3_Parametros!$B$44)/3_Parametros!$B$44</f>
        <v>0.15434489626556</v>
      </c>
      <c r="C20" s="58" t="n">
        <f aca="false">((3_Parametros!$B$21*3_Parametros!$D$21*3_Parametros!$C$21)+(3_Parametros!$B$22*3_Parametros!$D$22*3_Parametros!$C$22)+(3_Parametros!$B$23*$A20*3_Parametros!$C$23)+(3_Parametros!$B$24*C$16*3_Parametros!$C$24)-3_Parametros!$B$44)/3_Parametros!$B$44</f>
        <v>0.30808398340249</v>
      </c>
      <c r="D20" s="58" t="n">
        <f aca="false">((3_Parametros!$B$21*3_Parametros!$D$21*3_Parametros!$C$21)+(3_Parametros!$B$22*3_Parametros!$D$22*3_Parametros!$C$22)+(3_Parametros!$B$23*$A20*3_Parametros!$C$23)+(3_Parametros!$B$24*D$16*3_Parametros!$C$24)-3_Parametros!$B$44)/3_Parametros!$B$44</f>
        <v>0.461823070539419</v>
      </c>
      <c r="E20" s="58" t="n">
        <f aca="false">((3_Parametros!$B$21*3_Parametros!$D$21*3_Parametros!$C$21)+(3_Parametros!$B$22*3_Parametros!$D$22*3_Parametros!$C$22)+(3_Parametros!$B$23*$A20*3_Parametros!$C$23)+(3_Parametros!$B$24*E$16*3_Parametros!$C$24)-3_Parametros!$B$44)/3_Parametros!$B$44</f>
        <v>0.615562157676349</v>
      </c>
      <c r="F20" s="58" t="n">
        <f aca="false">((3_Parametros!$B$21*3_Parametros!$D$21*3_Parametros!$C$21)+(3_Parametros!$B$22*3_Parametros!$D$22*3_Parametros!$C$22)+(3_Parametros!$B$23*$A20*3_Parametros!$C$23)+(3_Parametros!$B$24*F$16*3_Parametros!$C$24)-3_Parametros!$B$44)/3_Parametros!$B$44</f>
        <v>0.769301244813278</v>
      </c>
      <c r="G20" s="58" t="n">
        <f aca="false">((3_Parametros!$B$21*3_Parametros!$D$21*3_Parametros!$C$21)+(3_Parametros!$B$22*3_Parametros!$D$22*3_Parametros!$C$22)+(3_Parametros!$B$23*$A20*3_Parametros!$C$23)+(3_Parametros!$B$24*G$16*3_Parametros!$C$24)-3_Parametros!$B$44)/3_Parametros!$B$44</f>
        <v>0.923040331950207</v>
      </c>
    </row>
    <row r="21" customFormat="false" ht="15" hidden="false" customHeight="false" outlineLevel="0" collapsed="false">
      <c r="A21" s="67" t="n">
        <v>0.12</v>
      </c>
      <c r="B21" s="58" t="n">
        <f aca="false">((3_Parametros!$B$21*3_Parametros!$D$21*3_Parametros!$C$21)+(3_Parametros!$B$22*3_Parametros!$D$22*3_Parametros!$C$22)+(3_Parametros!$B$23*$A21*3_Parametros!$C$23)+(3_Parametros!$B$24*B$16*3_Parametros!$C$24)-3_Parametros!$B$44)/3_Parametros!$B$44</f>
        <v>0.240662738589212</v>
      </c>
      <c r="C21" s="58" t="n">
        <f aca="false">((3_Parametros!$B$21*3_Parametros!$D$21*3_Parametros!$C$21)+(3_Parametros!$B$22*3_Parametros!$D$22*3_Parametros!$C$22)+(3_Parametros!$B$23*$A21*3_Parametros!$C$23)+(3_Parametros!$B$24*C$16*3_Parametros!$C$24)-3_Parametros!$B$44)/3_Parametros!$B$44</f>
        <v>0.394401825726141</v>
      </c>
      <c r="D21" s="58" t="n">
        <f aca="false">((3_Parametros!$B$21*3_Parametros!$D$21*3_Parametros!$C$21)+(3_Parametros!$B$22*3_Parametros!$D$22*3_Parametros!$C$22)+(3_Parametros!$B$23*$A21*3_Parametros!$C$23)+(3_Parametros!$B$24*D$16*3_Parametros!$C$24)-3_Parametros!$B$44)/3_Parametros!$B$44</f>
        <v>0.54814091286307</v>
      </c>
      <c r="E21" s="58" t="n">
        <f aca="false">((3_Parametros!$B$21*3_Parametros!$D$21*3_Parametros!$C$21)+(3_Parametros!$B$22*3_Parametros!$D$22*3_Parametros!$C$22)+(3_Parametros!$B$23*$A21*3_Parametros!$C$23)+(3_Parametros!$B$24*E$16*3_Parametros!$C$24)-3_Parametros!$B$44)/3_Parametros!$B$44</f>
        <v>0.70188</v>
      </c>
      <c r="F21" s="58" t="n">
        <f aca="false">((3_Parametros!$B$21*3_Parametros!$D$21*3_Parametros!$C$21)+(3_Parametros!$B$22*3_Parametros!$D$22*3_Parametros!$C$22)+(3_Parametros!$B$23*$A21*3_Parametros!$C$23)+(3_Parametros!$B$24*F$16*3_Parametros!$C$24)-3_Parametros!$B$44)/3_Parametros!$B$44</f>
        <v>0.85561908713693</v>
      </c>
      <c r="G21" s="58" t="n">
        <f aca="false">((3_Parametros!$B$21*3_Parametros!$D$21*3_Parametros!$C$21)+(3_Parametros!$B$22*3_Parametros!$D$22*3_Parametros!$C$22)+(3_Parametros!$B$23*$A21*3_Parametros!$C$23)+(3_Parametros!$B$24*G$16*3_Parametros!$C$24)-3_Parametros!$B$44)/3_Parametros!$B$44</f>
        <v>1.00935817427386</v>
      </c>
    </row>
    <row r="22" customFormat="false" ht="15" hidden="false" customHeight="false" outlineLevel="0" collapsed="false">
      <c r="A22" s="67" t="n">
        <v>0.15</v>
      </c>
      <c r="B22" s="58" t="n">
        <f aca="false">((3_Parametros!$B$21*3_Parametros!$D$21*3_Parametros!$C$21)+(3_Parametros!$B$22*3_Parametros!$D$22*3_Parametros!$C$22)+(3_Parametros!$B$23*$A22*3_Parametros!$C$23)+(3_Parametros!$B$24*B$16*3_Parametros!$C$24)-3_Parametros!$B$44)/3_Parametros!$B$44</f>
        <v>0.370139502074689</v>
      </c>
      <c r="C22" s="58" t="n">
        <f aca="false">((3_Parametros!$B$21*3_Parametros!$D$21*3_Parametros!$C$21)+(3_Parametros!$B$22*3_Parametros!$D$22*3_Parametros!$C$22)+(3_Parametros!$B$23*$A22*3_Parametros!$C$23)+(3_Parametros!$B$24*C$16*3_Parametros!$C$24)-3_Parametros!$B$44)/3_Parametros!$B$44</f>
        <v>0.523878589211618</v>
      </c>
      <c r="D22" s="58" t="n">
        <f aca="false">((3_Parametros!$B$21*3_Parametros!$D$21*3_Parametros!$C$21)+(3_Parametros!$B$22*3_Parametros!$D$22*3_Parametros!$C$22)+(3_Parametros!$B$23*$A22*3_Parametros!$C$23)+(3_Parametros!$B$24*D$16*3_Parametros!$C$24)-3_Parametros!$B$44)/3_Parametros!$B$44</f>
        <v>0.677617676348548</v>
      </c>
      <c r="E22" s="58" t="n">
        <f aca="false">((3_Parametros!$B$21*3_Parametros!$D$21*3_Parametros!$C$21)+(3_Parametros!$B$22*3_Parametros!$D$22*3_Parametros!$C$22)+(3_Parametros!$B$23*$A22*3_Parametros!$C$23)+(3_Parametros!$B$24*E$16*3_Parametros!$C$24)-3_Parametros!$B$44)/3_Parametros!$B$44</f>
        <v>0.831356763485477</v>
      </c>
      <c r="F22" s="58" t="n">
        <f aca="false">((3_Parametros!$B$21*3_Parametros!$D$21*3_Parametros!$C$21)+(3_Parametros!$B$22*3_Parametros!$D$22*3_Parametros!$C$22)+(3_Parametros!$B$23*$A22*3_Parametros!$C$23)+(3_Parametros!$B$24*F$16*3_Parametros!$C$24)-3_Parametros!$B$44)/3_Parametros!$B$44</f>
        <v>0.985095850622407</v>
      </c>
      <c r="G22" s="58" t="n">
        <f aca="false">((3_Parametros!$B$21*3_Parametros!$D$21*3_Parametros!$C$21)+(3_Parametros!$B$22*3_Parametros!$D$22*3_Parametros!$C$22)+(3_Parametros!$B$23*$A22*3_Parametros!$C$23)+(3_Parametros!$B$24*G$16*3_Parametros!$C$24)-3_Parametros!$B$44)/3_Parametros!$B$44</f>
        <v>1.13883493775934</v>
      </c>
    </row>
    <row r="24" customFormat="false" ht="15" hidden="false" customHeight="false" outlineLevel="0" collapsed="false">
      <c r="A24" s="68" t="s">
        <v>301</v>
      </c>
      <c r="B24" s="68"/>
      <c r="C24" s="68"/>
      <c r="D24" s="68"/>
      <c r="E24" s="68"/>
      <c r="F24" s="68"/>
      <c r="G24" s="68"/>
      <c r="H24" s="68"/>
    </row>
    <row r="25" customFormat="false" ht="27.75" hidden="false" customHeight="true" outlineLevel="0" collapsed="false">
      <c r="A25" s="13" t="s">
        <v>302</v>
      </c>
      <c r="B25" s="14" t="s">
        <v>303</v>
      </c>
      <c r="C25" s="14"/>
      <c r="D25" s="14"/>
      <c r="E25" s="14"/>
      <c r="F25" s="14"/>
      <c r="G25" s="14"/>
      <c r="H25" s="14"/>
    </row>
    <row r="26" customFormat="false" ht="27.75" hidden="false" customHeight="true" outlineLevel="0" collapsed="false">
      <c r="A26" s="13" t="s">
        <v>304</v>
      </c>
      <c r="B26" s="14" t="s">
        <v>305</v>
      </c>
      <c r="C26" s="14"/>
      <c r="D26" s="14"/>
      <c r="E26" s="14"/>
      <c r="F26" s="14"/>
      <c r="G26" s="14"/>
      <c r="H26" s="14"/>
    </row>
    <row r="27" customFormat="false" ht="27.75" hidden="false" customHeight="true" outlineLevel="0" collapsed="false">
      <c r="A27" s="13" t="s">
        <v>306</v>
      </c>
      <c r="B27" s="14" t="s">
        <v>307</v>
      </c>
      <c r="C27" s="14"/>
      <c r="D27" s="14"/>
      <c r="E27" s="14"/>
      <c r="F27" s="14"/>
      <c r="G27" s="14"/>
      <c r="H27" s="14"/>
    </row>
  </sheetData>
  <mergeCells count="12">
    <mergeCell ref="A1:D1"/>
    <mergeCell ref="E1:H1"/>
    <mergeCell ref="A3:H3"/>
    <mergeCell ref="A4:H4"/>
    <mergeCell ref="A5:H5"/>
    <mergeCell ref="A7:H7"/>
    <mergeCell ref="A14:H14"/>
    <mergeCell ref="A15:H15"/>
    <mergeCell ref="A24:H24"/>
    <mergeCell ref="B25:H25"/>
    <mergeCell ref="B26:H26"/>
    <mergeCell ref="B27:H27"/>
  </mergeCells>
  <conditionalFormatting sqref="B17:G22">
    <cfRule type="colorScale" priority="2">
      <colorScale>
        <cfvo type="num" val="-0.1"/>
        <cfvo type="num" val="0.2"/>
        <cfvo type="num" val="0.5"/>
        <color rgb="FFF8696B"/>
        <color rgb="FFFFEB84"/>
        <color rgb="FF63BE7B"/>
      </colorScale>
    </cfRule>
  </conditionalFormatting>
  <printOptions headings="false" gridLines="false" gridLinesSet="true" horizontalCentered="true" verticalCentered="false"/>
  <pageMargins left="0.5" right="0.5" top="0.6" bottom="0.6"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6" min="2" style="0" width="16"/>
    <col collapsed="false" customWidth="true" hidden="false" outlineLevel="0" max="8" min="7" style="0" width="8"/>
  </cols>
  <sheetData>
    <row r="1" customFormat="false" ht="15" hidden="false" customHeight="false" outlineLevel="0" collapsed="false">
      <c r="A1" s="15" t="s">
        <v>60</v>
      </c>
      <c r="B1" s="15"/>
      <c r="C1" s="15"/>
      <c r="D1" s="15"/>
      <c r="E1" s="16" t="s">
        <v>61</v>
      </c>
      <c r="F1" s="16"/>
      <c r="G1" s="16"/>
      <c r="H1" s="16"/>
    </row>
    <row r="2" customFormat="false" ht="15" hidden="false" customHeight="false" outlineLevel="0" collapsed="false">
      <c r="A2" s="17"/>
      <c r="B2" s="17"/>
      <c r="C2" s="17"/>
      <c r="D2" s="17"/>
      <c r="E2" s="17"/>
      <c r="F2" s="17"/>
      <c r="G2" s="17"/>
      <c r="H2" s="17"/>
    </row>
    <row r="3" customFormat="false" ht="27.75" hidden="false" customHeight="true" outlineLevel="0" collapsed="false">
      <c r="A3" s="3" t="s">
        <v>308</v>
      </c>
      <c r="B3" s="3"/>
      <c r="C3" s="3"/>
      <c r="D3" s="3"/>
      <c r="E3" s="3"/>
      <c r="F3" s="3"/>
      <c r="G3" s="3"/>
      <c r="H3" s="3"/>
    </row>
    <row r="4" customFormat="false" ht="15" hidden="false" customHeight="false" outlineLevel="0" collapsed="false">
      <c r="A4" s="18" t="s">
        <v>309</v>
      </c>
      <c r="B4" s="18"/>
      <c r="C4" s="18"/>
      <c r="D4" s="18"/>
      <c r="E4" s="18"/>
      <c r="F4" s="18"/>
      <c r="G4" s="18"/>
      <c r="H4" s="18"/>
    </row>
    <row r="6" customFormat="false" ht="19.5" hidden="false" customHeight="true" outlineLevel="0" collapsed="false">
      <c r="A6" s="19" t="s">
        <v>310</v>
      </c>
      <c r="B6" s="19"/>
      <c r="C6" s="19"/>
      <c r="D6" s="19"/>
      <c r="E6" s="19"/>
      <c r="F6" s="19"/>
      <c r="G6" s="19"/>
      <c r="H6" s="19"/>
    </row>
    <row r="7" customFormat="false" ht="27.75" hidden="false" customHeight="true" outlineLevel="0" collapsed="false">
      <c r="A7" s="10" t="s">
        <v>69</v>
      </c>
      <c r="B7" s="10" t="s">
        <v>311</v>
      </c>
      <c r="C7" s="10" t="s">
        <v>312</v>
      </c>
      <c r="D7" s="10" t="s">
        <v>313</v>
      </c>
      <c r="E7" s="10" t="s">
        <v>242</v>
      </c>
      <c r="F7" s="10" t="s">
        <v>314</v>
      </c>
    </row>
    <row r="8" customFormat="false" ht="25.5" hidden="false" customHeight="true" outlineLevel="0" collapsed="false">
      <c r="A8" s="13" t="s">
        <v>72</v>
      </c>
      <c r="B8" s="69" t="n">
        <f aca="false">4_DO_Nothing!$B$11</f>
        <v>37250000</v>
      </c>
      <c r="C8" s="50" t="n">
        <v>0</v>
      </c>
      <c r="D8" s="50" t="n">
        <v>0</v>
      </c>
      <c r="E8" s="50" t="n">
        <v>0</v>
      </c>
      <c r="F8" s="70" t="str">
        <f aca="false">"n/a"</f>
        <v>n/a</v>
      </c>
    </row>
    <row r="9" customFormat="false" ht="25.5" hidden="false" customHeight="true" outlineLevel="0" collapsed="false">
      <c r="A9" s="13" t="s">
        <v>31</v>
      </c>
      <c r="B9" s="71" t="n">
        <f aca="false">4_DO_Nothing!$B$11+5_DS_Opcion_1!$F$14</f>
        <v>37838891.28</v>
      </c>
      <c r="C9" s="48" t="n">
        <f aca="false">5_DS_Opcion_1!$F$14</f>
        <v>588891.28</v>
      </c>
      <c r="D9" s="48" t="n">
        <f aca="false">3_Parametros!$B$44</f>
        <v>482000</v>
      </c>
      <c r="E9" s="48" t="n">
        <f aca="false">5_DS_Opcion_1!$F$19</f>
        <v>106891.28</v>
      </c>
      <c r="F9" s="65" t="n">
        <f aca="false">5_DS_Opcion_1!$F$20</f>
        <v>0.221766141078838</v>
      </c>
    </row>
    <row r="10" customFormat="false" ht="25.5" hidden="false" customHeight="true" outlineLevel="0" collapsed="false">
      <c r="A10" s="13" t="s">
        <v>33</v>
      </c>
      <c r="B10" s="71" t="n">
        <f aca="false">4_DO_Nothing!$B$11+6_DS_Opcion_2!$H$14</f>
        <v>37864061.3024</v>
      </c>
      <c r="C10" s="48" t="n">
        <f aca="false">6_DS_Opcion_2!$H$14</f>
        <v>614061.3024</v>
      </c>
      <c r="D10" s="48" t="n">
        <f aca="false">3_Parametros!$B$44</f>
        <v>482000</v>
      </c>
      <c r="E10" s="48" t="n">
        <f aca="false">6_DS_Opcion_2!$H$19</f>
        <v>132061.3024</v>
      </c>
      <c r="F10" s="65" t="n">
        <f aca="false">6_DS_Opcion_2!$H$20</f>
        <v>0.273986104564315</v>
      </c>
    </row>
    <row r="12" customFormat="false" ht="19.5" hidden="false" customHeight="true" outlineLevel="0" collapsed="false">
      <c r="A12" s="19" t="s">
        <v>315</v>
      </c>
      <c r="B12" s="19"/>
      <c r="C12" s="19"/>
      <c r="D12" s="19"/>
      <c r="E12" s="19"/>
      <c r="F12" s="19"/>
      <c r="G12" s="19"/>
      <c r="H12" s="19"/>
    </row>
    <row r="13" customFormat="false" ht="21.75" hidden="false" customHeight="true" outlineLevel="0" collapsed="false">
      <c r="A13" s="10" t="s">
        <v>316</v>
      </c>
      <c r="B13" s="10" t="s">
        <v>317</v>
      </c>
      <c r="C13" s="10" t="s">
        <v>318</v>
      </c>
      <c r="D13" s="10"/>
      <c r="E13" s="10"/>
      <c r="F13" s="10"/>
      <c r="G13" s="10"/>
      <c r="H13" s="10"/>
    </row>
    <row r="14" customFormat="false" ht="31.5" hidden="false" customHeight="true" outlineLevel="0" collapsed="false">
      <c r="A14" s="72" t="s">
        <v>319</v>
      </c>
      <c r="B14" s="11" t="s">
        <v>320</v>
      </c>
      <c r="C14" s="14" t="s">
        <v>321</v>
      </c>
      <c r="D14" s="14"/>
      <c r="E14" s="14"/>
      <c r="F14" s="14"/>
      <c r="G14" s="14"/>
      <c r="H14" s="14"/>
    </row>
    <row r="15" customFormat="false" ht="31.5" hidden="false" customHeight="true" outlineLevel="0" collapsed="false">
      <c r="A15" s="72" t="s">
        <v>322</v>
      </c>
      <c r="B15" s="11" t="s">
        <v>323</v>
      </c>
      <c r="C15" s="14" t="s">
        <v>324</v>
      </c>
      <c r="D15" s="14"/>
      <c r="E15" s="14"/>
      <c r="F15" s="14"/>
      <c r="G15" s="14"/>
      <c r="H15" s="14"/>
    </row>
    <row r="16" customFormat="false" ht="31.5" hidden="false" customHeight="true" outlineLevel="0" collapsed="false">
      <c r="A16" s="72" t="s">
        <v>325</v>
      </c>
      <c r="B16" s="11" t="s">
        <v>326</v>
      </c>
      <c r="C16" s="14" t="s">
        <v>327</v>
      </c>
      <c r="D16" s="14"/>
      <c r="E16" s="14"/>
      <c r="F16" s="14"/>
      <c r="G16" s="14"/>
      <c r="H16" s="14"/>
    </row>
    <row r="17" customFormat="false" ht="31.5" hidden="false" customHeight="true" outlineLevel="0" collapsed="false">
      <c r="A17" s="72" t="s">
        <v>328</v>
      </c>
      <c r="B17" s="11" t="s">
        <v>329</v>
      </c>
      <c r="C17" s="14" t="s">
        <v>330</v>
      </c>
      <c r="D17" s="14"/>
      <c r="E17" s="14"/>
      <c r="F17" s="14"/>
      <c r="G17" s="14"/>
      <c r="H17" s="14"/>
    </row>
    <row r="18" customFormat="false" ht="31.5" hidden="false" customHeight="true" outlineLevel="0" collapsed="false">
      <c r="A18" s="72" t="s">
        <v>331</v>
      </c>
      <c r="B18" s="11" t="s">
        <v>332</v>
      </c>
      <c r="C18" s="14" t="s">
        <v>333</v>
      </c>
      <c r="D18" s="14"/>
      <c r="E18" s="14"/>
      <c r="F18" s="14"/>
      <c r="G18" s="14"/>
      <c r="H18" s="14"/>
    </row>
    <row r="20" customFormat="false" ht="19.5" hidden="false" customHeight="true" outlineLevel="0" collapsed="false">
      <c r="A20" s="19" t="s">
        <v>334</v>
      </c>
      <c r="B20" s="19"/>
      <c r="C20" s="19"/>
      <c r="D20" s="19"/>
      <c r="E20" s="19"/>
      <c r="F20" s="19"/>
      <c r="G20" s="19"/>
      <c r="H20" s="19"/>
    </row>
    <row r="21" customFormat="false" ht="21.75" hidden="false" customHeight="true" outlineLevel="0" collapsed="false">
      <c r="A21" s="10" t="s">
        <v>316</v>
      </c>
      <c r="B21" s="10" t="s">
        <v>335</v>
      </c>
      <c r="C21" s="10" t="s">
        <v>336</v>
      </c>
      <c r="D21" s="10"/>
      <c r="E21" s="10"/>
      <c r="F21" s="10"/>
      <c r="G21" s="10"/>
      <c r="H21" s="10"/>
    </row>
    <row r="22" customFormat="false" ht="39.75" hidden="false" customHeight="true" outlineLevel="0" collapsed="false">
      <c r="A22" s="72" t="s">
        <v>337</v>
      </c>
      <c r="B22" s="20" t="s">
        <v>338</v>
      </c>
      <c r="C22" s="22" t="s">
        <v>339</v>
      </c>
      <c r="D22" s="22"/>
      <c r="E22" s="22"/>
      <c r="F22" s="22"/>
      <c r="G22" s="22"/>
      <c r="H22" s="22"/>
    </row>
    <row r="23" customFormat="false" ht="39.75" hidden="false" customHeight="true" outlineLevel="0" collapsed="false">
      <c r="A23" s="72" t="s">
        <v>340</v>
      </c>
      <c r="B23" s="20" t="s">
        <v>341</v>
      </c>
      <c r="C23" s="22" t="s">
        <v>342</v>
      </c>
      <c r="D23" s="22"/>
      <c r="E23" s="22"/>
      <c r="F23" s="22"/>
      <c r="G23" s="22"/>
      <c r="H23" s="22"/>
    </row>
    <row r="24" customFormat="false" ht="39.75" hidden="false" customHeight="true" outlineLevel="0" collapsed="false">
      <c r="A24" s="72" t="s">
        <v>343</v>
      </c>
      <c r="B24" s="20" t="s">
        <v>344</v>
      </c>
      <c r="C24" s="22" t="s">
        <v>345</v>
      </c>
      <c r="D24" s="22"/>
      <c r="E24" s="22"/>
      <c r="F24" s="22"/>
      <c r="G24" s="22"/>
      <c r="H24" s="22"/>
    </row>
    <row r="25" customFormat="false" ht="39.75" hidden="false" customHeight="true" outlineLevel="0" collapsed="false">
      <c r="A25" s="72" t="s">
        <v>346</v>
      </c>
      <c r="B25" s="20" t="s">
        <v>347</v>
      </c>
      <c r="C25" s="22" t="s">
        <v>348</v>
      </c>
      <c r="D25" s="22"/>
      <c r="E25" s="22"/>
      <c r="F25" s="22"/>
      <c r="G25" s="22"/>
      <c r="H25" s="22"/>
    </row>
    <row r="26" customFormat="false" ht="39.75" hidden="false" customHeight="true" outlineLevel="0" collapsed="false">
      <c r="A26" s="72" t="s">
        <v>349</v>
      </c>
      <c r="B26" s="20" t="s">
        <v>350</v>
      </c>
      <c r="C26" s="22" t="s">
        <v>351</v>
      </c>
      <c r="D26" s="22"/>
      <c r="E26" s="22"/>
      <c r="F26" s="22"/>
      <c r="G26" s="22"/>
      <c r="H26" s="22"/>
    </row>
    <row r="27" customFormat="false" ht="39.75" hidden="false" customHeight="true" outlineLevel="0" collapsed="false">
      <c r="A27" s="72" t="s">
        <v>352</v>
      </c>
      <c r="B27" s="20" t="s">
        <v>353</v>
      </c>
      <c r="C27" s="22" t="s">
        <v>354</v>
      </c>
      <c r="D27" s="22"/>
      <c r="E27" s="22"/>
      <c r="F27" s="22"/>
      <c r="G27" s="22"/>
      <c r="H27" s="22"/>
    </row>
    <row r="29" customFormat="false" ht="19.5" hidden="false" customHeight="true" outlineLevel="0" collapsed="false">
      <c r="A29" s="19" t="s">
        <v>355</v>
      </c>
      <c r="B29" s="19"/>
      <c r="C29" s="19"/>
      <c r="D29" s="19"/>
      <c r="E29" s="19"/>
      <c r="F29" s="19"/>
      <c r="G29" s="19"/>
      <c r="H29" s="19"/>
    </row>
    <row r="30" customFormat="false" ht="30" hidden="false" customHeight="true" outlineLevel="0" collapsed="false">
      <c r="A30" s="73" t="s">
        <v>356</v>
      </c>
      <c r="B30" s="73"/>
      <c r="C30" s="73"/>
      <c r="D30" s="73"/>
      <c r="E30" s="73"/>
      <c r="F30" s="73"/>
      <c r="G30" s="73"/>
      <c r="H30" s="73"/>
    </row>
    <row r="31" customFormat="false" ht="21.75" hidden="false" customHeight="true" outlineLevel="0" collapsed="false">
      <c r="A31" s="10" t="s">
        <v>357</v>
      </c>
      <c r="B31" s="10" t="s">
        <v>358</v>
      </c>
      <c r="C31" s="10"/>
      <c r="D31" s="10"/>
      <c r="E31" s="10"/>
      <c r="F31" s="10"/>
      <c r="G31" s="10"/>
      <c r="H31" s="10"/>
    </row>
    <row r="32" customFormat="false" ht="24" hidden="false" customHeight="true" outlineLevel="0" collapsed="false">
      <c r="A32" s="13" t="s">
        <v>359</v>
      </c>
      <c r="B32" s="14" t="s">
        <v>360</v>
      </c>
      <c r="C32" s="14"/>
      <c r="D32" s="14"/>
      <c r="E32" s="14"/>
      <c r="F32" s="14"/>
      <c r="G32" s="14"/>
      <c r="H32" s="14"/>
    </row>
    <row r="33" customFormat="false" ht="24" hidden="false" customHeight="true" outlineLevel="0" collapsed="false">
      <c r="A33" s="13" t="s">
        <v>361</v>
      </c>
      <c r="B33" s="14" t="s">
        <v>362</v>
      </c>
      <c r="C33" s="14"/>
      <c r="D33" s="14"/>
      <c r="E33" s="14"/>
      <c r="F33" s="14"/>
      <c r="G33" s="14"/>
      <c r="H33" s="14"/>
    </row>
    <row r="34" customFormat="false" ht="24" hidden="false" customHeight="true" outlineLevel="0" collapsed="false">
      <c r="A34" s="13" t="s">
        <v>363</v>
      </c>
      <c r="B34" s="14" t="s">
        <v>364</v>
      </c>
      <c r="C34" s="14"/>
      <c r="D34" s="14"/>
      <c r="E34" s="14"/>
      <c r="F34" s="14"/>
      <c r="G34" s="14"/>
      <c r="H34" s="14"/>
    </row>
    <row r="35" customFormat="false" ht="24" hidden="false" customHeight="true" outlineLevel="0" collapsed="false">
      <c r="A35" s="13" t="s">
        <v>365</v>
      </c>
      <c r="B35" s="14" t="s">
        <v>366</v>
      </c>
      <c r="C35" s="14"/>
      <c r="D35" s="14"/>
      <c r="E35" s="14"/>
      <c r="F35" s="14"/>
      <c r="G35" s="14"/>
      <c r="H35" s="14"/>
    </row>
    <row r="36" customFormat="false" ht="24" hidden="false" customHeight="true" outlineLevel="0" collapsed="false">
      <c r="A36" s="13" t="s">
        <v>367</v>
      </c>
      <c r="B36" s="14" t="s">
        <v>368</v>
      </c>
      <c r="C36" s="14"/>
      <c r="D36" s="14"/>
      <c r="E36" s="14"/>
      <c r="F36" s="14"/>
      <c r="G36" s="14"/>
      <c r="H36" s="14"/>
    </row>
  </sheetData>
  <mergeCells count="28">
    <mergeCell ref="A1:D1"/>
    <mergeCell ref="E1:H1"/>
    <mergeCell ref="A3:H3"/>
    <mergeCell ref="A4:H4"/>
    <mergeCell ref="A6:H6"/>
    <mergeCell ref="A12:H12"/>
    <mergeCell ref="C13:H13"/>
    <mergeCell ref="C14:H14"/>
    <mergeCell ref="C15:H15"/>
    <mergeCell ref="C16:H16"/>
    <mergeCell ref="C17:H17"/>
    <mergeCell ref="C18:H18"/>
    <mergeCell ref="A20:H20"/>
    <mergeCell ref="C21:H21"/>
    <mergeCell ref="C22:H22"/>
    <mergeCell ref="C23:H23"/>
    <mergeCell ref="C24:H24"/>
    <mergeCell ref="C25:H25"/>
    <mergeCell ref="C26:H26"/>
    <mergeCell ref="C27:H27"/>
    <mergeCell ref="A29:H29"/>
    <mergeCell ref="A30:H30"/>
    <mergeCell ref="B31:H31"/>
    <mergeCell ref="B32:H32"/>
    <mergeCell ref="B33:H33"/>
    <mergeCell ref="B34:H34"/>
    <mergeCell ref="B35:H35"/>
    <mergeCell ref="B36:H36"/>
  </mergeCells>
  <printOptions headings="false" gridLines="false" gridLinesSet="true" horizontalCentered="true" verticalCentered="false"/>
  <pageMargins left="0.5" right="0.5" top="0.6" bottom="0.6"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2026-06-07T23:27:55Z</dcterms:created>
  <dc:creator>openpyxl</dc:creator>
  <dc:description/>
  <dc:language>en-US</dc:language>
  <cp:lastModifiedBy/>
  <dcterms:modified xsi:type="dcterms:W3CDTF">2026-06-07T23:27:55Z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