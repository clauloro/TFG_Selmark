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ARAMETROS" sheetId="2" state="visible" r:id="rId4"/>
    <sheet name="PALANCAS" sheetId="3" state="visible" r:id="rId5"/>
    <sheet name="ESCENARIOS" sheetId="4" state="visible" r:id="rId6"/>
    <sheet name="SENSIBILIDAD" sheetId="5" state="visible" r:id="rId7"/>
    <sheet name="NOTAS" sheetId="6" state="visible" r:id="rId8"/>
    <sheet name="COSTE_BENEFICIO" sheetId="7" state="visible" r:id="rId9"/>
    <sheet name="SENSIBILIDAD_CRUZAD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<sst xmlns="http://schemas.openxmlformats.org/spreadsheetml/2006/main" count="182" uniqueCount="171">
  <si>
    <t xml:space="preserve">Modelo de ROI — Plan comercial Selmark (versión actualizada)</t>
  </si>
  <si>
    <t xml:space="preserve">TFG · Análisis de cliente y geomarketing en moda íntima — Capítulo 8</t>
  </si>
  <si>
    <t xml:space="preserve">Versión actualizada y reconciliada con el Capítulo 7 corregido (modelo de churn Random Forest,</t>
  </si>
  <si>
    <t xml:space="preserve">enfoque fresh churn, caso de máxima prioridad 16352). Marco DO NOTHING vs DO SOMETHING.</t>
  </si>
  <si>
    <t xml:space="preserve">CÓMO USAR EL MODELO:</t>
  </si>
  <si>
    <t xml:space="preserve">  · Solo se editan las celdas en AZUL de la hoja PARAMETROS.</t>
  </si>
  <si>
    <t xml:space="preserve">  · Las celdas en NEGRO son fórmulas (se recalculan solas); las VERDES son enlaces entre hojas.</t>
  </si>
  <si>
    <t xml:space="preserve">  · El resultado final está en la hoja ESCENARIOS; las simulaciones, en SENSIBILIDAD.</t>
  </si>
  <si>
    <t xml:space="preserve">HOJAS:</t>
  </si>
  <si>
    <t xml:space="preserve">  PARAMETROS   — todos los inputs editables (universos, tasas, tickets, costes, DO NOTHING).</t>
  </si>
  <si>
    <t xml:space="preserve">  PALANCAS     — ingresos incrementales por palanca (Opción 1 y Opción 2).</t>
  </si>
  <si>
    <t xml:space="preserve">  ESCENARIOS   — DO NOTHING vs Opción 1 vs Opción 2 y ROI final.</t>
  </si>
  <si>
    <t xml:space="preserve">  SENSIBILIDAD — ROI ante variación de tasas y ante la definición de universo.</t>
  </si>
  <si>
    <t xml:space="preserve">  NOTAS        — definición de universos y trazabilidad a los capítulos del TFG.</t>
  </si>
  <si>
    <t xml:space="preserve">PARÁMETROS EDITABLES (celdas azules)</t>
  </si>
  <si>
    <t xml:space="preserve">UNIVERSOS — clientes objetivo de cada palanca</t>
  </si>
  <si>
    <t xml:space="preserve">P1 · Retención Núcleo (C1)</t>
  </si>
  <si>
    <t xml:space="preserve">Núcleo en riesgo priorizados — ranking RF corregido (Cap. 7)</t>
  </si>
  <si>
    <t xml:space="preserve">P2 · Retención Grandes Cuentas (C2)</t>
  </si>
  <si>
    <t xml:space="preserve">Grandes Cuentas en riesgo priorizadas (Cap. 7)</t>
  </si>
  <si>
    <t xml:space="preserve">P3 · Captación Madrid</t>
  </si>
  <si>
    <t xml:space="preserve">Huecos territoriales del Núcleo en Madrid (Cap. 6)</t>
  </si>
  <si>
    <t xml:space="preserve">P4 · Conversión C4-&gt;C1 Italia</t>
  </si>
  <si>
    <t xml:space="preserve">Compradores Estacionales italianos (Cap. 6)</t>
  </si>
  <si>
    <t xml:space="preserve">TASAS DE ÉXITO</t>
  </si>
  <si>
    <t xml:space="preserve">P1 · Retención Núcleo</t>
  </si>
  <si>
    <t xml:space="preserve">Benchmark Customer Success B2B</t>
  </si>
  <si>
    <t xml:space="preserve">P2 · Retención Grandes Cuentas</t>
  </si>
  <si>
    <t xml:space="preserve">Captación B2B en frío, año 1</t>
  </si>
  <si>
    <t xml:space="preserve">P4 · Conversión Italia</t>
  </si>
  <si>
    <t xml:space="preserve">Upgrade de cluster (conservador)</t>
  </si>
  <si>
    <t xml:space="preserve">TICKETS ANUALES (€)</t>
  </si>
  <si>
    <t xml:space="preserve">Ticket C1 (Núcleo)</t>
  </si>
  <si>
    <t xml:space="preserve">65.532 € (Cap. 5, Tabla 5.3) / 4 años</t>
  </si>
  <si>
    <t xml:space="preserve">Ticket C2 (Grandes Cuentas)</t>
  </si>
  <si>
    <t xml:space="preserve">282.555 € (Cap. 5) / 4 años</t>
  </si>
  <si>
    <t xml:space="preserve">Ticket captación Madrid (= C1)</t>
  </si>
  <si>
    <t xml:space="preserve">perfil Núcleo</t>
  </si>
  <si>
    <t xml:space="preserve">Diferencial conversión Italia (C1 - C4)</t>
  </si>
  <si>
    <t xml:space="preserve">16.380 - 2.708 €</t>
  </si>
  <si>
    <t xml:space="preserve">UPLIFT OPCIÓN 2 (reenfoque por cluster, Cap. 5)</t>
  </si>
  <si>
    <t xml:space="preserve">Uplift de ticket en P3 y P4</t>
  </si>
  <si>
    <t xml:space="preserve">Reenfoque de oferta hacia clusters de mayor ticket</t>
  </si>
  <si>
    <t xml:space="preserve">COSTES FIJOS (€)</t>
  </si>
  <si>
    <t xml:space="preserve">Business Analyst (1 FTE)</t>
  </si>
  <si>
    <t xml:space="preserve">Glassdoor + 40% cargas</t>
  </si>
  <si>
    <t xml:space="preserve">Customer Success Manager</t>
  </si>
  <si>
    <t xml:space="preserve">Comercial Madrid</t>
  </si>
  <si>
    <t xml:space="preserve">Agente Italia</t>
  </si>
  <si>
    <t xml:space="preserve">Infraestructura Data + Email + CRM</t>
  </si>
  <si>
    <t xml:space="preserve">AWS + SaaS marketing</t>
  </si>
  <si>
    <t xml:space="preserve">Subtotal costes fijos</t>
  </si>
  <si>
    <t xml:space="preserve">COSTES VARIABLES (€)</t>
  </si>
  <si>
    <t xml:space="preserve">Campañas de marketing (medios)</t>
  </si>
  <si>
    <t xml:space="preserve">Diseño, localización y visitas</t>
  </si>
  <si>
    <t xml:space="preserve">Samples y onboarding</t>
  </si>
  <si>
    <t xml:space="preserve">Generales / administración / legal</t>
  </si>
  <si>
    <t xml:space="preserve">Subtotal costes variables</t>
  </si>
  <si>
    <t xml:space="preserve">COSTE TOTAL DEL PLAN</t>
  </si>
  <si>
    <t xml:space="preserve">DO NOTHING — facturación 2026 (€)</t>
  </si>
  <si>
    <t xml:space="preserve">Forecast retail (Anexo SARIMA)</t>
  </si>
  <si>
    <t xml:space="preserve">15,95 M€ (Anexo A)</t>
  </si>
  <si>
    <t xml:space="preserve">B2B inercial (media 2022-2025)</t>
  </si>
  <si>
    <t xml:space="preserve">proyección inercial</t>
  </si>
  <si>
    <t xml:space="preserve">Total DO NOTHING</t>
  </si>
  <si>
    <t xml:space="preserve">OTROS</t>
  </si>
  <si>
    <t xml:space="preserve">Coste asignado a P1 (ROI individual)</t>
  </si>
  <si>
    <t xml:space="preserve">CSM dedicado + samples premium</t>
  </si>
  <si>
    <t xml:space="preserve">INGRESOS INCREMENTALES POR PALANCA</t>
  </si>
  <si>
    <t xml:space="preserve">Palanca</t>
  </si>
  <si>
    <t xml:space="preserve">Universo</t>
  </si>
  <si>
    <t xml:space="preserve">Tasa</t>
  </si>
  <si>
    <t xml:space="preserve">Clientes efectivos</t>
  </si>
  <si>
    <t xml:space="preserve">Ticket Op.1</t>
  </si>
  <si>
    <t xml:space="preserve">Ingreso Op.1</t>
  </si>
  <si>
    <t xml:space="preserve">Ticket Op.2</t>
  </si>
  <si>
    <t xml:space="preserve">Ingreso Op.2</t>
  </si>
  <si>
    <t xml:space="preserve">TOTAL ingresos incrementales</t>
  </si>
  <si>
    <t xml:space="preserve">ROI INDIVIDUAL DE LA PALANCA P1</t>
  </si>
  <si>
    <t xml:space="preserve">Ingreso anual P1</t>
  </si>
  <si>
    <t xml:space="preserve">Coste asignado a P1</t>
  </si>
  <si>
    <t xml:space="preserve">Beneficio neto P1</t>
  </si>
  <si>
    <t xml:space="preserve">ROI individual P1</t>
  </si>
  <si>
    <t xml:space="preserve">Negativo en aislado: ver NOTAS (valor multianual)</t>
  </si>
  <si>
    <t xml:space="preserve">ESCENARIOS Y ROI FINAL</t>
  </si>
  <si>
    <t xml:space="preserve">Escenario</t>
  </si>
  <si>
    <t xml:space="preserve">Ingresos 2026</t>
  </si>
  <si>
    <t xml:space="preserve">∆ vs DN</t>
  </si>
  <si>
    <t xml:space="preserve">Coste plan</t>
  </si>
  <si>
    <t xml:space="preserve">Beneficio</t>
  </si>
  <si>
    <t xml:space="preserve">ROI</t>
  </si>
  <si>
    <t xml:space="preserve">DO NOTHING</t>
  </si>
  <si>
    <t xml:space="preserve">-</t>
  </si>
  <si>
    <t xml:space="preserve">DO SOMETHING · Opción 1 (volumen)</t>
  </si>
  <si>
    <t xml:space="preserve">DO SOMETHING · Opción 2 (volumen + ticket)</t>
  </si>
  <si>
    <t xml:space="preserve">Lectura: el ROI se mide sobre el INCREMENTO respecto a DO NOTHING, no sobre la facturación total.</t>
  </si>
  <si>
    <t xml:space="preserve">ANÁLISIS DE SENSIBILIDAD</t>
  </si>
  <si>
    <t xml:space="preserve">1) Sensibilidad univariante de las TASAS DE ÉXITO (ROI Opción 1)</t>
  </si>
  <si>
    <t xml:space="preserve">Parámetro</t>
  </si>
  <si>
    <t xml:space="preserve">Pesimista</t>
  </si>
  <si>
    <t xml:space="preserve">Base</t>
  </si>
  <si>
    <t xml:space="preserve">Optimista</t>
  </si>
  <si>
    <t xml:space="preserve">Tasa P1 (Retención C1)</t>
  </si>
  <si>
    <t xml:space="preserve">Tasa P2 (Retención C2)</t>
  </si>
  <si>
    <t xml:space="preserve">Tasa P3 (Captación Madrid)</t>
  </si>
  <si>
    <t xml:space="preserve">Tasa P4 (Conversión Italia)</t>
  </si>
  <si>
    <t xml:space="preserve">2) Sensibilidad a la DEFINICIÓN DE UNIVERSO de las palancas de retención (P1, P2)</t>
  </si>
  <si>
    <t xml:space="preserve">Definición del universo</t>
  </si>
  <si>
    <t xml:space="preserve">Universo P1</t>
  </si>
  <si>
    <t xml:space="preserve">Universo P2</t>
  </si>
  <si>
    <t xml:space="preserve">ROI Op.1</t>
  </si>
  <si>
    <t xml:space="preserve">Cohorte del plan (base) — priorización por capacidad</t>
  </si>
  <si>
    <t xml:space="preserve">Solo membresía en el TOP-100 corregido</t>
  </si>
  <si>
    <t xml:space="preserve">Todos los churners esperados por cluster</t>
  </si>
  <si>
    <t xml:space="preserve">La cohorte base (17/9) prioriza por capacidad del equipo entre los clientes de alto valor en riesgo</t>
  </si>
  <si>
    <t xml:space="preserve">que identifica el modelo corregido; las otras dos filas muestran los extremos de definición.</t>
  </si>
  <si>
    <t xml:space="preserve">DEFINICIÓN DE UNIVERSOS Y TRAZABILIDAD</t>
  </si>
  <si>
    <t xml:space="preserve">Reconciliación con el Capítulo 7 corregido:</t>
  </si>
  <si>
    <t xml:space="preserve">  · El modelo de churn final es Random Forest (no LightGBM), con features as-of 2024 y enfoque fresh churn.</t>
  </si>
  <si>
    <t xml:space="preserve">  · El caso de máxima prioridad pasa a ser el cliente 16352 (Núcleo Estratégico), no el 7590.</t>
  </si>
  <si>
    <t xml:space="preserve">  · El ranking corregido de TOP-100 contiene 32 clientes del Núcleo (C1) y 2 Grandes Cuentas (C2).</t>
  </si>
  <si>
    <t xml:space="preserve">Definición de los universos de retención (P1, P2):</t>
  </si>
  <si>
    <t xml:space="preserve">  · Se definen como COHORTES DE PRIORIZACIÓN del programa (capacidad del equipo de Customer Success),</t>
  </si>
  <si>
    <t xml:space="preserve">    no como 'número de clientes en el TOP-100'. Se eligen los clientes de mayor valor en riesgo según el</t>
  </si>
  <si>
    <t xml:space="preserve">    modelo corregido: 17 del Núcleo y 9 Grandes Cuentas (sobre 49 y 16 churners esperados respectivamente).</t>
  </si>
  <si>
    <t xml:space="preserve">  · La hoja SENSIBILIDAD muestra cómo cambia el ROI con otras definiciones de universo.</t>
  </si>
  <si>
    <t xml:space="preserve">Trazabilidad de cada palanca:</t>
  </si>
  <si>
    <t xml:space="preserve">  · P1, P2  -&gt; ranking de riesgo del Capítulo 7 (modelo de churn).</t>
  </si>
  <si>
    <t xml:space="preserve">  · P3      -&gt; huecos territoriales de Madrid del Capítulo 6 (127 clientes captables).</t>
  </si>
  <si>
    <t xml:space="preserve">  · P4      -&gt; cantera de Compradores Estacionales en Italia del Capítulo 6 (271 clientes).</t>
  </si>
  <si>
    <t xml:space="preserve">  · Tickets -&gt; facturación media por cluster del Capítulo 5 (Tabla 5.3), anualizada (/4).</t>
  </si>
  <si>
    <t xml:space="preserve">  · DO NOTHING retail -&gt; forecast del Anexo SARIMA (15,95 M€).</t>
  </si>
  <si>
    <t xml:space="preserve">Caso de la palanca P1 (ROI individual negativo):</t>
  </si>
  <si>
    <t xml:space="preserve">  · Universo pequeño y coste de atención alto -&gt; ROI anual negativo en aislado.</t>
  </si>
  <si>
    <t xml:space="preserve">  · Se mantiene por su valor multianual y el alto coste de reposición de un cliente del Núcleo (5-7x).</t>
  </si>
  <si>
    <t xml:space="preserve">Limitaciones: ROI sobre ingresos (no margen); tasas estimadas (benchmarks, no datos propios);</t>
  </si>
  <si>
    <t xml:space="preserve">palancas tratadas como independientes; horizonte anual; proyección B2B inercial.</t>
  </si>
  <si>
    <t xml:space="preserve">MATRIZ COSTE-BENEFICIO SOBRE EL MODELO DE CHURN (Cap. 7)</t>
  </si>
  <si>
    <t xml:space="preserve">PARÁMETROS DE VALORACIÓN (Cap. 7, umbral 0,35)</t>
  </si>
  <si>
    <t xml:space="preserve">Verdaderos positivos · TP (churner detectado)</t>
  </si>
  <si>
    <t xml:space="preserve">matriz de confusión Cap. 7</t>
  </si>
  <si>
    <t xml:space="preserve">Falsos positivos · FP (falsa alarma)</t>
  </si>
  <si>
    <t xml:space="preserve">Falsos negativos · FN (churner no detectado)</t>
  </si>
  <si>
    <t xml:space="preserve">Verdaderos negativos · TN (correcto, no se actúa)</t>
  </si>
  <si>
    <t xml:space="preserve">Valor anual del cliente objetivo · V (€)</t>
  </si>
  <si>
    <t xml:space="preserve">ticket Núcleo (Cap. 5)</t>
  </si>
  <si>
    <t xml:space="preserve">Coste de intervención por cliente · c (€)</t>
  </si>
  <si>
    <t xml:space="preserve">retención dirigida</t>
  </si>
  <si>
    <t xml:space="preserve">Tasa de retención · r</t>
  </si>
  <si>
    <t xml:space="preserve">benchmark Customer Success</t>
  </si>
  <si>
    <t xml:space="preserve">VALOR ECONÓMICO POR CELDA</t>
  </si>
  <si>
    <t xml:space="preserve">TP · valor unitario (r·V - c)</t>
  </si>
  <si>
    <t xml:space="preserve">TP · valor total (TP × unitario)</t>
  </si>
  <si>
    <t xml:space="preserve">FP · coste total (- FP × c)</t>
  </si>
  <si>
    <t xml:space="preserve">FN · coste de oportunidad (- FN × V, informativo)</t>
  </si>
  <si>
    <t xml:space="preserve">RESULTADO DE LA INTERVENCIÓN DIRIGIDA</t>
  </si>
  <si>
    <t xml:space="preserve">Coste total de intervención ((TP+FP) × c)</t>
  </si>
  <si>
    <t xml:space="preserve">Valor neto de caja (TP·(r·V-c) - FP·c)</t>
  </si>
  <si>
    <t xml:space="preserve">ROI de la intervención (valor neto / coste)</t>
  </si>
  <si>
    <t xml:space="preserve">MATRIZ DE CONFUSIÓN (recuentos · Cap. 7, umbral 0,35)</t>
  </si>
  <si>
    <t xml:space="preserve">Predicho No-churn</t>
  </si>
  <si>
    <t xml:space="preserve">Predicho Churn</t>
  </si>
  <si>
    <t xml:space="preserve">Real No-churn</t>
  </si>
  <si>
    <t xml:space="preserve">Real Churn</t>
  </si>
  <si>
    <t xml:space="preserve">Lectura: la intervención solo es rentable si el valor del cliente (V) es alto. Por eso el plan</t>
  </si>
  <si>
    <t xml:space="preserve">concentra la retención en los clusters de mayor ticket (C1, C2) -&gt; palancas P1 y P2.</t>
  </si>
  <si>
    <t xml:space="preserve">SENSIBILIDAD CRUZADA · ROI Opción 1 según tasas P3 y P4</t>
  </si>
  <si>
    <t xml:space="preserve">Columnas = tasa Captación Madrid (P3) · Filas = tasa Conversión Italia (P4)</t>
  </si>
  <si>
    <t xml:space="preserve">P4 \ P3</t>
  </si>
  <si>
    <t xml:space="preserve">Verde = ROI alto · Rojo = ROI bajo. La banda defendible 15-25 % queda en el centro del mapa.</t>
  </si>
  <si>
    <t xml:space="preserve">El caso base del plan (P3=8 %, P4=4 %) da 22,2 %.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</si>
</sst>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&quot; €&quot;"/>
    <numFmt numFmtId="167" formatCode="General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3E54"/>
      <name val="Arial"/>
      <family val="0"/>
      <charset val="1"/>
    </font>
    <font>
      <sz val="11"/>
      <color rgb="FF2C3E5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C3E54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6"/>
        <bgColor rgb="FFFFFFFF"/>
      </patternFill>
    </fill>
    <fill>
      <patternFill patternType="solid">
        <fgColor rgb="FFBF9B30"/>
        <bgColor rgb="FF969696"/>
      </patternFill>
    </fill>
    <fill>
      <patternFill patternType="solid">
        <fgColor rgb="FF2C3E5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B3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5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4</v>
      </c>
    </row>
    <row r="10" customFormat="false" ht="15" hidden="false" customHeight="false" outlineLevel="0" collapsed="false">
      <c r="B10" s="3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/>
    </row>
    <row r="14" customFormat="false" ht="15" hidden="false" customHeight="false" outlineLevel="0" collapsed="false">
      <c r="B14" s="4" t="s">
        <v>8</v>
      </c>
    </row>
    <row r="15" customFormat="false" ht="15" hidden="false" customHeight="false" outlineLevel="0" collapsed="false">
      <c r="B15" s="3" t="s">
        <v>9</v>
      </c>
    </row>
    <row r="16" customFormat="false" ht="15" hidden="false" customHeight="false" outlineLevel="0" collapsed="false">
      <c r="B16" s="3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14</v>
      </c>
    </row>
    <row r="3" customFormat="false" ht="15" hidden="false" customHeight="false" outlineLevel="0" collapsed="false">
      <c r="A3" s="5" t="s">
        <v>15</v>
      </c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7" t="s">
        <v>16</v>
      </c>
      <c r="B4" s="8" t="n">
        <v>17</v>
      </c>
      <c r="C4" s="9" t="s">
        <v>17</v>
      </c>
    </row>
    <row r="5" customFormat="false" ht="15" hidden="false" customHeight="false" outlineLevel="0" collapsed="false">
      <c r="A5" s="7" t="s">
        <v>18</v>
      </c>
      <c r="B5" s="8" t="n">
        <v>9</v>
      </c>
      <c r="C5" s="9" t="s">
        <v>19</v>
      </c>
    </row>
    <row r="6" customFormat="false" ht="15" hidden="false" customHeight="false" outlineLevel="0" collapsed="false">
      <c r="A6" s="7" t="s">
        <v>20</v>
      </c>
      <c r="B6" s="8" t="n">
        <v>127</v>
      </c>
      <c r="C6" s="9" t="s">
        <v>21</v>
      </c>
    </row>
    <row r="7" customFormat="false" ht="15" hidden="false" customHeight="false" outlineLevel="0" collapsed="false">
      <c r="A7" s="7" t="s">
        <v>22</v>
      </c>
      <c r="B7" s="8" t="n">
        <v>271</v>
      </c>
      <c r="C7" s="9" t="s">
        <v>23</v>
      </c>
    </row>
    <row r="9" customFormat="false" ht="15" hidden="false" customHeight="false" outlineLevel="0" collapsed="false">
      <c r="A9" s="5" t="s">
        <v>24</v>
      </c>
      <c r="B9" s="6"/>
      <c r="C9" s="6"/>
      <c r="D9" s="6"/>
      <c r="E9" s="6"/>
      <c r="F9" s="6"/>
      <c r="G9" s="6"/>
      <c r="H9" s="6"/>
    </row>
    <row r="10" customFormat="false" ht="15" hidden="false" customHeight="false" outlineLevel="0" collapsed="false">
      <c r="A10" s="7" t="s">
        <v>25</v>
      </c>
      <c r="B10" s="10" t="n">
        <v>0.3</v>
      </c>
      <c r="C10" s="9" t="s">
        <v>26</v>
      </c>
    </row>
    <row r="11" customFormat="false" ht="15" hidden="false" customHeight="false" outlineLevel="0" collapsed="false">
      <c r="A11" s="7" t="s">
        <v>27</v>
      </c>
      <c r="B11" s="10" t="n">
        <v>0.3</v>
      </c>
      <c r="C11" s="9" t="s">
        <v>26</v>
      </c>
    </row>
    <row r="12" customFormat="false" ht="15" hidden="false" customHeight="false" outlineLevel="0" collapsed="false">
      <c r="A12" s="7" t="s">
        <v>20</v>
      </c>
      <c r="B12" s="10" t="n">
        <v>0.08</v>
      </c>
      <c r="C12" s="9" t="s">
        <v>28</v>
      </c>
    </row>
    <row r="13" customFormat="false" ht="15" hidden="false" customHeight="false" outlineLevel="0" collapsed="false">
      <c r="A13" s="7" t="s">
        <v>29</v>
      </c>
      <c r="B13" s="10" t="n">
        <v>0.04</v>
      </c>
      <c r="C13" s="9" t="s">
        <v>30</v>
      </c>
    </row>
    <row r="15" customFormat="false" ht="15" hidden="false" customHeight="false" outlineLevel="0" collapsed="false">
      <c r="A15" s="5" t="s">
        <v>31</v>
      </c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7" t="s">
        <v>32</v>
      </c>
      <c r="B16" s="11" t="n">
        <v>16380</v>
      </c>
      <c r="C16" s="9" t="s">
        <v>33</v>
      </c>
    </row>
    <row r="17" customFormat="false" ht="15" hidden="false" customHeight="false" outlineLevel="0" collapsed="false">
      <c r="A17" s="7" t="s">
        <v>34</v>
      </c>
      <c r="B17" s="11" t="n">
        <v>70640</v>
      </c>
      <c r="C17" s="9" t="s">
        <v>35</v>
      </c>
    </row>
    <row r="18" customFormat="false" ht="15" hidden="false" customHeight="false" outlineLevel="0" collapsed="false">
      <c r="A18" s="7" t="s">
        <v>36</v>
      </c>
      <c r="B18" s="11" t="n">
        <v>16380</v>
      </c>
      <c r="C18" s="9" t="s">
        <v>37</v>
      </c>
    </row>
    <row r="19" customFormat="false" ht="15" hidden="false" customHeight="false" outlineLevel="0" collapsed="false">
      <c r="A19" s="7" t="s">
        <v>38</v>
      </c>
      <c r="B19" s="11" t="n">
        <v>13672</v>
      </c>
      <c r="C19" s="9" t="s">
        <v>39</v>
      </c>
    </row>
    <row r="21" customFormat="false" ht="15" hidden="false" customHeight="false" outlineLevel="0" collapsed="false">
      <c r="A21" s="5" t="s">
        <v>40</v>
      </c>
      <c r="B21" s="6"/>
      <c r="C21" s="6"/>
      <c r="D21" s="6"/>
      <c r="E21" s="6"/>
      <c r="F21" s="6"/>
      <c r="G21" s="6"/>
      <c r="H21" s="6"/>
    </row>
    <row r="22" customFormat="false" ht="15" hidden="false" customHeight="false" outlineLevel="0" collapsed="false">
      <c r="A22" s="7" t="s">
        <v>41</v>
      </c>
      <c r="B22" s="10" t="n">
        <v>0.08</v>
      </c>
      <c r="C22" s="9" t="s">
        <v>42</v>
      </c>
    </row>
    <row r="24" customFormat="false" ht="15" hidden="false" customHeight="false" outlineLevel="0" collapsed="false">
      <c r="A24" s="5" t="s">
        <v>43</v>
      </c>
      <c r="B24" s="6"/>
      <c r="C24" s="6"/>
      <c r="D24" s="6"/>
      <c r="E24" s="6"/>
      <c r="F24" s="6"/>
      <c r="G24" s="6"/>
      <c r="H24" s="6"/>
    </row>
    <row r="25" customFormat="false" ht="15" hidden="false" customHeight="false" outlineLevel="0" collapsed="false">
      <c r="A25" s="7" t="s">
        <v>44</v>
      </c>
      <c r="B25" s="11" t="n">
        <v>55000</v>
      </c>
      <c r="C25" s="9" t="s">
        <v>45</v>
      </c>
    </row>
    <row r="26" customFormat="false" ht="15" hidden="false" customHeight="false" outlineLevel="0" collapsed="false">
      <c r="A26" s="7" t="s">
        <v>46</v>
      </c>
      <c r="B26" s="11" t="n">
        <v>50000</v>
      </c>
    </row>
    <row r="27" customFormat="false" ht="15" hidden="false" customHeight="false" outlineLevel="0" collapsed="false">
      <c r="A27" s="7" t="s">
        <v>47</v>
      </c>
      <c r="B27" s="11" t="n">
        <v>55000</v>
      </c>
    </row>
    <row r="28" customFormat="false" ht="15" hidden="false" customHeight="false" outlineLevel="0" collapsed="false">
      <c r="A28" s="7" t="s">
        <v>48</v>
      </c>
      <c r="B28" s="11" t="n">
        <v>50000</v>
      </c>
    </row>
    <row r="29" customFormat="false" ht="15" hidden="false" customHeight="false" outlineLevel="0" collapsed="false">
      <c r="A29" s="7" t="s">
        <v>49</v>
      </c>
      <c r="B29" s="11" t="n">
        <v>12000</v>
      </c>
      <c r="C29" s="9" t="s">
        <v>50</v>
      </c>
    </row>
    <row r="30" customFormat="false" ht="15" hidden="false" customHeight="false" outlineLevel="0" collapsed="false">
      <c r="A30" s="12" t="s">
        <v>51</v>
      </c>
      <c r="B30" s="13" t="n">
        <f aca="false">SUM(B25:B29)</f>
        <v>222000</v>
      </c>
    </row>
    <row r="32" customFormat="false" ht="15" hidden="false" customHeight="false" outlineLevel="0" collapsed="false">
      <c r="A32" s="5" t="s">
        <v>52</v>
      </c>
      <c r="B32" s="6"/>
      <c r="C32" s="6"/>
      <c r="D32" s="6"/>
      <c r="E32" s="6"/>
      <c r="F32" s="6"/>
      <c r="G32" s="6"/>
      <c r="H32" s="6"/>
    </row>
    <row r="33" customFormat="false" ht="15" hidden="false" customHeight="false" outlineLevel="0" collapsed="false">
      <c r="A33" s="7" t="s">
        <v>53</v>
      </c>
      <c r="B33" s="11" t="n">
        <v>100000</v>
      </c>
    </row>
    <row r="34" customFormat="false" ht="15" hidden="false" customHeight="false" outlineLevel="0" collapsed="false">
      <c r="A34" s="7" t="s">
        <v>54</v>
      </c>
      <c r="B34" s="11" t="n">
        <v>65000</v>
      </c>
    </row>
    <row r="35" customFormat="false" ht="15" hidden="false" customHeight="false" outlineLevel="0" collapsed="false">
      <c r="A35" s="7" t="s">
        <v>55</v>
      </c>
      <c r="B35" s="11" t="n">
        <v>60000</v>
      </c>
    </row>
    <row r="36" customFormat="false" ht="15" hidden="false" customHeight="false" outlineLevel="0" collapsed="false">
      <c r="A36" s="7" t="s">
        <v>56</v>
      </c>
      <c r="B36" s="11" t="n">
        <v>35000</v>
      </c>
    </row>
    <row r="37" customFormat="false" ht="15" hidden="false" customHeight="false" outlineLevel="0" collapsed="false">
      <c r="A37" s="12" t="s">
        <v>57</v>
      </c>
      <c r="B37" s="13" t="n">
        <f aca="false">SUM(B33:B36)</f>
        <v>260000</v>
      </c>
    </row>
    <row r="39" customFormat="false" ht="15" hidden="false" customHeight="false" outlineLevel="0" collapsed="false">
      <c r="A39" s="14" t="s">
        <v>58</v>
      </c>
      <c r="B39" s="15" t="n">
        <f aca="false">B30+B37</f>
        <v>482000</v>
      </c>
    </row>
    <row r="41" customFormat="false" ht="15" hidden="false" customHeight="false" outlineLevel="0" collapsed="false">
      <c r="A41" s="5" t="s">
        <v>59</v>
      </c>
      <c r="B41" s="6"/>
      <c r="C41" s="6"/>
      <c r="D41" s="6"/>
      <c r="E41" s="6"/>
      <c r="F41" s="6"/>
      <c r="G41" s="6"/>
      <c r="H41" s="6"/>
    </row>
    <row r="42" customFormat="false" ht="15" hidden="false" customHeight="false" outlineLevel="0" collapsed="false">
      <c r="A42" s="7" t="s">
        <v>60</v>
      </c>
      <c r="B42" s="11" t="n">
        <v>15950000</v>
      </c>
      <c r="C42" s="9" t="s">
        <v>61</v>
      </c>
    </row>
    <row r="43" customFormat="false" ht="15" hidden="false" customHeight="false" outlineLevel="0" collapsed="false">
      <c r="A43" s="7" t="s">
        <v>62</v>
      </c>
      <c r="B43" s="11" t="n">
        <v>21300000</v>
      </c>
      <c r="C43" s="9" t="s">
        <v>63</v>
      </c>
    </row>
    <row r="44" customFormat="false" ht="15" hidden="false" customHeight="false" outlineLevel="0" collapsed="false">
      <c r="A44" s="12" t="s">
        <v>64</v>
      </c>
      <c r="B44" s="13" t="n">
        <f aca="false">B42+B43</f>
        <v>37250000</v>
      </c>
    </row>
    <row r="46" customFormat="false" ht="15" hidden="false" customHeight="false" outlineLevel="0" collapsed="false">
      <c r="A46" s="5" t="s">
        <v>65</v>
      </c>
      <c r="B46" s="6"/>
      <c r="C46" s="6"/>
      <c r="D46" s="6"/>
      <c r="E46" s="6"/>
      <c r="F46" s="6"/>
      <c r="G46" s="6"/>
      <c r="H46" s="6"/>
    </row>
    <row r="47" customFormat="false" ht="15" hidden="false" customHeight="false" outlineLevel="0" collapsed="false">
      <c r="A47" s="7" t="s">
        <v>66</v>
      </c>
      <c r="B47" s="11" t="n">
        <v>107000</v>
      </c>
      <c r="C47" s="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15"/>
  </cols>
  <sheetData>
    <row r="1" customFormat="false" ht="17.35" hidden="false" customHeight="false" outlineLevel="0" collapsed="false">
      <c r="A1" s="1" t="s">
        <v>68</v>
      </c>
    </row>
    <row r="3" customFormat="false" ht="26.85" hidden="false" customHeight="false" outlineLevel="0" collapsed="false">
      <c r="A3" s="16" t="s">
        <v>69</v>
      </c>
      <c r="B3" s="16" t="s">
        <v>70</v>
      </c>
      <c r="C3" s="16" t="s">
        <v>71</v>
      </c>
      <c r="D3" s="16" t="s">
        <v>72</v>
      </c>
      <c r="E3" s="16" t="s">
        <v>73</v>
      </c>
      <c r="F3" s="16" t="s">
        <v>74</v>
      </c>
      <c r="G3" s="16" t="s">
        <v>75</v>
      </c>
      <c r="H3" s="16" t="s">
        <v>76</v>
      </c>
    </row>
    <row r="4" customFormat="false" ht="15" hidden="false" customHeight="false" outlineLevel="0" collapsed="false">
      <c r="A4" s="7" t="s">
        <v>16</v>
      </c>
      <c r="B4" s="17" t="n">
        <f aca="false">PARAMETROS!$B$4</f>
        <v>17</v>
      </c>
      <c r="C4" s="18" t="n">
        <f aca="false">PARAMETROS!$B$10</f>
        <v>0.3</v>
      </c>
      <c r="D4" s="19" t="n">
        <f aca="false">B4*C4</f>
        <v>5.1</v>
      </c>
      <c r="E4" s="20" t="n">
        <f aca="false">PARAMETROS!$B$16</f>
        <v>16380</v>
      </c>
      <c r="F4" s="13" t="n">
        <f aca="false">D4*E4</f>
        <v>83538</v>
      </c>
      <c r="G4" s="13" t="n">
        <f aca="false">E4</f>
        <v>16380</v>
      </c>
      <c r="H4" s="13" t="n">
        <f aca="false">D4*G4</f>
        <v>83538</v>
      </c>
    </row>
    <row r="5" customFormat="false" ht="15" hidden="false" customHeight="false" outlineLevel="0" collapsed="false">
      <c r="A5" s="7" t="s">
        <v>18</v>
      </c>
      <c r="B5" s="17" t="n">
        <f aca="false">PARAMETROS!$B$5</f>
        <v>9</v>
      </c>
      <c r="C5" s="18" t="n">
        <f aca="false">PARAMETROS!$B$11</f>
        <v>0.3</v>
      </c>
      <c r="D5" s="19" t="n">
        <f aca="false">B5*C5</f>
        <v>2.7</v>
      </c>
      <c r="E5" s="20" t="n">
        <f aca="false">PARAMETROS!$B$17</f>
        <v>70640</v>
      </c>
      <c r="F5" s="13" t="n">
        <f aca="false">D5*E5</f>
        <v>190728</v>
      </c>
      <c r="G5" s="13" t="n">
        <f aca="false">E5</f>
        <v>70640</v>
      </c>
      <c r="H5" s="13" t="n">
        <f aca="false">D5*G5</f>
        <v>190728</v>
      </c>
    </row>
    <row r="6" customFormat="false" ht="15" hidden="false" customHeight="false" outlineLevel="0" collapsed="false">
      <c r="A6" s="7" t="s">
        <v>20</v>
      </c>
      <c r="B6" s="17" t="n">
        <f aca="false">PARAMETROS!$B$6</f>
        <v>127</v>
      </c>
      <c r="C6" s="18" t="n">
        <f aca="false">PARAMETROS!$B$12</f>
        <v>0.08</v>
      </c>
      <c r="D6" s="19" t="n">
        <f aca="false">B6*C6</f>
        <v>10.16</v>
      </c>
      <c r="E6" s="20" t="n">
        <f aca="false">PARAMETROS!$B$18</f>
        <v>16380</v>
      </c>
      <c r="F6" s="13" t="n">
        <f aca="false">D6*E6</f>
        <v>166420.8</v>
      </c>
      <c r="G6" s="13" t="n">
        <f aca="false">E6*(1+PARAMETROS!$B$22)</f>
        <v>17690.4</v>
      </c>
      <c r="H6" s="13" t="n">
        <f aca="false">D6*G6</f>
        <v>179734.464</v>
      </c>
    </row>
    <row r="7" customFormat="false" ht="15" hidden="false" customHeight="false" outlineLevel="0" collapsed="false">
      <c r="A7" s="7" t="s">
        <v>29</v>
      </c>
      <c r="B7" s="17" t="n">
        <f aca="false">PARAMETROS!$B$7</f>
        <v>271</v>
      </c>
      <c r="C7" s="18" t="n">
        <f aca="false">PARAMETROS!$B$13</f>
        <v>0.04</v>
      </c>
      <c r="D7" s="19" t="n">
        <f aca="false">B7*C7</f>
        <v>10.84</v>
      </c>
      <c r="E7" s="20" t="n">
        <f aca="false">PARAMETROS!$B$19</f>
        <v>13672</v>
      </c>
      <c r="F7" s="13" t="n">
        <f aca="false">D7*E7</f>
        <v>148204.48</v>
      </c>
      <c r="G7" s="13" t="n">
        <f aca="false">E7*(1+PARAMETROS!$B$22)</f>
        <v>14765.76</v>
      </c>
      <c r="H7" s="13" t="n">
        <f aca="false">D7*G7</f>
        <v>160060.8384</v>
      </c>
    </row>
    <row r="8" customFormat="false" ht="15" hidden="false" customHeight="false" outlineLevel="0" collapsed="false">
      <c r="A8" s="21" t="s">
        <v>77</v>
      </c>
      <c r="B8" s="6"/>
      <c r="C8" s="6"/>
      <c r="D8" s="6"/>
      <c r="E8" s="6"/>
      <c r="F8" s="22" t="n">
        <f aca="false">SUM(F4:F7)</f>
        <v>588891.28</v>
      </c>
      <c r="G8" s="6"/>
      <c r="H8" s="22" t="n">
        <f aca="false">SUM(H4:H7)</f>
        <v>614061.3024</v>
      </c>
    </row>
    <row r="11" customFormat="false" ht="15" hidden="false" customHeight="false" outlineLevel="0" collapsed="false">
      <c r="A11" s="14" t="s">
        <v>78</v>
      </c>
    </row>
    <row r="12" customFormat="false" ht="15" hidden="false" customHeight="false" outlineLevel="0" collapsed="false">
      <c r="A12" s="0" t="s">
        <v>79</v>
      </c>
      <c r="B12" s="13" t="n">
        <f aca="false">F4</f>
        <v>83538</v>
      </c>
    </row>
    <row r="13" customFormat="false" ht="15" hidden="false" customHeight="false" outlineLevel="0" collapsed="false">
      <c r="A13" s="0" t="s">
        <v>80</v>
      </c>
      <c r="B13" s="20" t="n">
        <f aca="false">PARAMETROS!$B$47</f>
        <v>107000</v>
      </c>
    </row>
    <row r="14" customFormat="false" ht="15" hidden="false" customHeight="false" outlineLevel="0" collapsed="false">
      <c r="A14" s="0" t="s">
        <v>81</v>
      </c>
      <c r="B14" s="13" t="n">
        <f aca="false">B12-B13</f>
        <v>-23462</v>
      </c>
    </row>
    <row r="15" customFormat="false" ht="15" hidden="false" customHeight="false" outlineLevel="0" collapsed="false">
      <c r="A15" s="0" t="s">
        <v>82</v>
      </c>
      <c r="B15" s="23" t="n">
        <f aca="false">B14/B13</f>
        <v>-0.219271028037383</v>
      </c>
      <c r="C15" s="9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84</v>
      </c>
    </row>
    <row r="3" customFormat="false" ht="15" hidden="false" customHeight="false" outlineLevel="0" collapsed="false">
      <c r="A3" s="16" t="s">
        <v>85</v>
      </c>
      <c r="B3" s="16" t="s">
        <v>86</v>
      </c>
      <c r="C3" s="16" t="s">
        <v>87</v>
      </c>
      <c r="D3" s="16" t="s">
        <v>88</v>
      </c>
      <c r="E3" s="16" t="s">
        <v>89</v>
      </c>
      <c r="F3" s="16" t="s">
        <v>90</v>
      </c>
    </row>
    <row r="4" customFormat="false" ht="15" hidden="false" customHeight="false" outlineLevel="0" collapsed="false">
      <c r="A4" s="7" t="s">
        <v>91</v>
      </c>
      <c r="B4" s="20" t="n">
        <f aca="false">PARAMETROS!$B$44</f>
        <v>37250000</v>
      </c>
      <c r="C4" s="7" t="s">
        <v>92</v>
      </c>
      <c r="D4" s="24" t="n">
        <v>0</v>
      </c>
      <c r="E4" s="7" t="s">
        <v>92</v>
      </c>
      <c r="F4" s="7" t="s">
        <v>92</v>
      </c>
    </row>
    <row r="5" customFormat="false" ht="15" hidden="false" customHeight="false" outlineLevel="0" collapsed="false">
      <c r="A5" s="7" t="s">
        <v>93</v>
      </c>
      <c r="B5" s="13" t="n">
        <f aca="false">PARAMETROS!$B$44+PALANCAS!$F$8</f>
        <v>37838891.28</v>
      </c>
      <c r="C5" s="20" t="n">
        <f aca="false">PALANCAS!$F$8</f>
        <v>588891.28</v>
      </c>
      <c r="D5" s="20" t="n">
        <f aca="false">PARAMETROS!$B$39</f>
        <v>482000</v>
      </c>
      <c r="E5" s="13" t="n">
        <f aca="false">PALANCAS!$F$8-PARAMETROS!$B$39</f>
        <v>106891.28</v>
      </c>
      <c r="F5" s="25" t="n">
        <f aca="false">(PALANCAS!$F$8-PARAMETROS!$B$39)/PARAMETROS!$B$39</f>
        <v>0.221766141078838</v>
      </c>
    </row>
    <row r="6" customFormat="false" ht="15" hidden="false" customHeight="false" outlineLevel="0" collapsed="false">
      <c r="A6" s="7" t="s">
        <v>94</v>
      </c>
      <c r="B6" s="13" t="n">
        <f aca="false">PARAMETROS!$B$44+PALANCAS!$H$8</f>
        <v>37864061.3024</v>
      </c>
      <c r="C6" s="20" t="n">
        <f aca="false">PALANCAS!$H$8</f>
        <v>614061.3024</v>
      </c>
      <c r="D6" s="20" t="n">
        <f aca="false">PARAMETROS!$B$39</f>
        <v>482000</v>
      </c>
      <c r="E6" s="13" t="n">
        <f aca="false">PALANCAS!$H$8-PARAMETROS!$B$39</f>
        <v>132061.3024</v>
      </c>
      <c r="F6" s="25" t="n">
        <f aca="false">(PALANCAS!$H$8-PARAMETROS!$B$39)/PARAMETROS!$B$39</f>
        <v>0.273986104564315</v>
      </c>
    </row>
    <row r="8" customFormat="false" ht="15" hidden="false" customHeight="false" outlineLevel="0" collapsed="false">
      <c r="A8" s="9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3"/>
    <col collapsed="false" customWidth="true" hidden="false" outlineLevel="0" max="4" min="4" style="0" width="11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9"/>
  </cols>
  <sheetData>
    <row r="1" customFormat="false" ht="17.35" hidden="false" customHeight="false" outlineLevel="0" collapsed="false">
      <c r="A1" s="1" t="s">
        <v>96</v>
      </c>
    </row>
    <row r="3" customFormat="false" ht="15" hidden="false" customHeight="false" outlineLevel="0" collapsed="false">
      <c r="A3" s="14" t="s">
        <v>97</v>
      </c>
    </row>
    <row r="4" customFormat="false" ht="15" hidden="false" customHeight="false" outlineLevel="0" collapsed="false">
      <c r="A4" s="16" t="s">
        <v>98</v>
      </c>
      <c r="B4" s="16" t="s">
        <v>99</v>
      </c>
      <c r="C4" s="16" t="s">
        <v>90</v>
      </c>
      <c r="D4" s="16" t="s">
        <v>100</v>
      </c>
      <c r="E4" s="16" t="s">
        <v>90</v>
      </c>
      <c r="F4" s="16" t="s">
        <v>101</v>
      </c>
      <c r="G4" s="26" t="s">
        <v>90</v>
      </c>
    </row>
    <row r="5" customFormat="false" ht="15" hidden="false" customHeight="false" outlineLevel="0" collapsed="false">
      <c r="A5" s="7" t="s">
        <v>102</v>
      </c>
      <c r="B5" s="10" t="n">
        <v>0.15</v>
      </c>
      <c r="C5" s="27" t="n">
        <f aca="false">((PARAMETROS!$B$4*$B$5*PARAMETROS!$B$16+PARAMETROS!$B$5*PARAMETROS!$B$11*PARAMETROS!$B$17+PARAMETROS!$B$6*PARAMETROS!$B$12*PARAMETROS!$B$18+PARAMETROS!$B$7*PARAMETROS!$B$13*PARAMETROS!$B$19)-PARAMETROS!$B$39)/PARAMETROS!$B$39</f>
        <v>0.13510846473029</v>
      </c>
      <c r="D5" s="18" t="n">
        <f aca="false">PARAMETROS!$B$10</f>
        <v>0.3</v>
      </c>
      <c r="E5" s="27" t="n">
        <f aca="false">((PARAMETROS!$B$4*$D$5*PARAMETROS!$B$16+PARAMETROS!$B$5*PARAMETROS!$B$11*PARAMETROS!$B$17+PARAMETROS!$B$6*PARAMETROS!$B$12*PARAMETROS!$B$18+PARAMETROS!$B$7*PARAMETROS!$B$13*PARAMETROS!$B$19)-PARAMETROS!$B$39)/PARAMETROS!$B$39</f>
        <v>0.221766141078838</v>
      </c>
      <c r="F5" s="10" t="n">
        <v>0.45</v>
      </c>
      <c r="G5" s="27" t="n">
        <f aca="false">((PARAMETROS!$B$4*$F$5*PARAMETROS!$B$16+PARAMETROS!$B$5*PARAMETROS!$B$11*PARAMETROS!$B$17+PARAMETROS!$B$6*PARAMETROS!$B$12*PARAMETROS!$B$18+PARAMETROS!$B$7*PARAMETROS!$B$13*PARAMETROS!$B$19)-PARAMETROS!$B$39)/PARAMETROS!$B$39</f>
        <v>0.308423817427386</v>
      </c>
    </row>
    <row r="6" customFormat="false" ht="15" hidden="false" customHeight="false" outlineLevel="0" collapsed="false">
      <c r="A6" s="7" t="s">
        <v>103</v>
      </c>
      <c r="B6" s="10" t="n">
        <v>0.15</v>
      </c>
      <c r="C6" s="27" t="n">
        <f aca="false">((PARAMETROS!$B$4*PARAMETROS!$B$10*PARAMETROS!$B$16+PARAMETROS!$B$5*$B$6*PARAMETROS!$B$17+PARAMETROS!$B$6*PARAMETROS!$B$12*PARAMETROS!$B$18+PARAMETROS!$B$7*PARAMETROS!$B$13*PARAMETROS!$B$19)-PARAMETROS!$B$39)/PARAMETROS!$B$39</f>
        <v>0.0239155186721992</v>
      </c>
      <c r="D6" s="18" t="n">
        <f aca="false">PARAMETROS!$B$11</f>
        <v>0.3</v>
      </c>
      <c r="E6" s="27" t="n">
        <f aca="false">((PARAMETROS!$B$4*PARAMETROS!$B$10*PARAMETROS!$B$16+PARAMETROS!$B$5*$D$6*PARAMETROS!$B$17+PARAMETROS!$B$6*PARAMETROS!$B$12*PARAMETROS!$B$18+PARAMETROS!$B$7*PARAMETROS!$B$13*PARAMETROS!$B$19)-PARAMETROS!$B$39)/PARAMETROS!$B$39</f>
        <v>0.221766141078838</v>
      </c>
      <c r="F6" s="10" t="n">
        <v>0.45</v>
      </c>
      <c r="G6" s="27" t="n">
        <f aca="false">((PARAMETROS!$B$4*PARAMETROS!$B$10*PARAMETROS!$B$16+PARAMETROS!$B$5*$F$6*PARAMETROS!$B$17+PARAMETROS!$B$6*PARAMETROS!$B$12*PARAMETROS!$B$18+PARAMETROS!$B$7*PARAMETROS!$B$13*PARAMETROS!$B$19)-PARAMETROS!$B$39)/PARAMETROS!$B$39</f>
        <v>0.419616763485477</v>
      </c>
    </row>
    <row r="7" customFormat="false" ht="15" hidden="false" customHeight="false" outlineLevel="0" collapsed="false">
      <c r="A7" s="7" t="s">
        <v>104</v>
      </c>
      <c r="B7" s="10" t="n">
        <v>0.04</v>
      </c>
      <c r="C7" s="27" t="n">
        <f aca="false">((PARAMETROS!$B$4*PARAMETROS!$B$10*PARAMETROS!$B$16+PARAMETROS!$B$5*PARAMETROS!$B$11*PARAMETROS!$B$17+PARAMETROS!$B$6*$B$7*PARAMETROS!$B$18+PARAMETROS!$B$7*PARAMETROS!$B$13*PARAMETROS!$B$19)-PARAMETROS!$B$39)/PARAMETROS!$B$39</f>
        <v>0.0491304564315353</v>
      </c>
      <c r="D7" s="18" t="n">
        <f aca="false">PARAMETROS!$B$12</f>
        <v>0.08</v>
      </c>
      <c r="E7" s="27" t="n">
        <f aca="false">((PARAMETROS!$B$4*PARAMETROS!$B$10*PARAMETROS!$B$16+PARAMETROS!$B$5*PARAMETROS!$B$11*PARAMETROS!$B$17+PARAMETROS!$B$6*$D$7*PARAMETROS!$B$18+PARAMETROS!$B$7*PARAMETROS!$B$13*PARAMETROS!$B$19)-PARAMETROS!$B$39)/PARAMETROS!$B$39</f>
        <v>0.221766141078838</v>
      </c>
      <c r="F7" s="10" t="n">
        <v>0.15</v>
      </c>
      <c r="G7" s="27" t="n">
        <f aca="false">((PARAMETROS!$B$4*PARAMETROS!$B$10*PARAMETROS!$B$16+PARAMETROS!$B$5*PARAMETROS!$B$11*PARAMETROS!$B$17+PARAMETROS!$B$6*$F$7*PARAMETROS!$B$18+PARAMETROS!$B$7*PARAMETROS!$B$13*PARAMETROS!$B$19)-PARAMETROS!$B$39)/PARAMETROS!$B$39</f>
        <v>0.523878589211618</v>
      </c>
    </row>
    <row r="8" customFormat="false" ht="15" hidden="false" customHeight="false" outlineLevel="0" collapsed="false">
      <c r="A8" s="7" t="s">
        <v>105</v>
      </c>
      <c r="B8" s="10" t="n">
        <v>0.02</v>
      </c>
      <c r="C8" s="27" t="n">
        <f aca="false">((PARAMETROS!$B$4*PARAMETROS!$B$10*PARAMETROS!$B$16+PARAMETROS!$B$5*PARAMETROS!$B$11*PARAMETROS!$B$17+PARAMETROS!$B$6*PARAMETROS!$B$12*PARAMETROS!$B$18+PARAMETROS!$B$7*$B$8*PARAMETROS!$B$19)-PARAMETROS!$B$39)/PARAMETROS!$B$39</f>
        <v>0.0680270539419087</v>
      </c>
      <c r="D8" s="18" t="n">
        <f aca="false">PARAMETROS!$B$13</f>
        <v>0.04</v>
      </c>
      <c r="E8" s="27" t="n">
        <f aca="false">((PARAMETROS!$B$4*PARAMETROS!$B$10*PARAMETROS!$B$16+PARAMETROS!$B$5*PARAMETROS!$B$11*PARAMETROS!$B$17+PARAMETROS!$B$6*PARAMETROS!$B$12*PARAMETROS!$B$18+PARAMETROS!$B$7*$D$8*PARAMETROS!$B$19)-PARAMETROS!$B$39)/PARAMETROS!$B$39</f>
        <v>0.221766141078838</v>
      </c>
      <c r="F8" s="10" t="n">
        <v>0.08</v>
      </c>
      <c r="G8" s="27" t="n">
        <f aca="false">((PARAMETROS!$B$4*PARAMETROS!$B$10*PARAMETROS!$B$16+PARAMETROS!$B$5*PARAMETROS!$B$11*PARAMETROS!$B$17+PARAMETROS!$B$6*PARAMETROS!$B$12*PARAMETROS!$B$18+PARAMETROS!$B$7*$F$8*PARAMETROS!$B$19)-PARAMETROS!$B$39)/PARAMETROS!$B$39</f>
        <v>0.529244315352697</v>
      </c>
    </row>
    <row r="11" customFormat="false" ht="15" hidden="false" customHeight="false" outlineLevel="0" collapsed="false">
      <c r="A11" s="14" t="s">
        <v>106</v>
      </c>
    </row>
    <row r="12" customFormat="false" ht="15" hidden="false" customHeight="false" outlineLevel="0" collapsed="false">
      <c r="A12" s="16" t="s">
        <v>107</v>
      </c>
      <c r="B12" s="16" t="s">
        <v>108</v>
      </c>
      <c r="C12" s="16" t="s">
        <v>109</v>
      </c>
      <c r="D12" s="16" t="s">
        <v>110</v>
      </c>
    </row>
    <row r="13" customFormat="false" ht="15" hidden="false" customHeight="false" outlineLevel="0" collapsed="false">
      <c r="A13" s="7" t="s">
        <v>111</v>
      </c>
      <c r="B13" s="8" t="n">
        <v>17</v>
      </c>
      <c r="C13" s="8" t="n">
        <v>9</v>
      </c>
      <c r="D13" s="27" t="n">
        <f aca="false">(($B$13*PARAMETROS!$B$10*PARAMETROS!$B$16+$C$13*PARAMETROS!$B$11*PARAMETROS!$B$17+PARAMETROS!$B$6*PARAMETROS!$B$12*PARAMETROS!$B$18+PARAMETROS!$B$7*PARAMETROS!$B$13*PARAMETROS!$B$19)-PARAMETROS!$B$39)/PARAMETROS!$B$39</f>
        <v>0.221766141078838</v>
      </c>
    </row>
    <row r="14" customFormat="false" ht="15" hidden="false" customHeight="false" outlineLevel="0" collapsed="false">
      <c r="A14" s="7" t="s">
        <v>112</v>
      </c>
      <c r="B14" s="8" t="n">
        <v>32</v>
      </c>
      <c r="C14" s="8" t="n">
        <v>2</v>
      </c>
      <c r="D14" s="27" t="n">
        <f aca="false">(($B$14*PARAMETROS!$B$10*PARAMETROS!$B$16+$C$14*PARAMETROS!$B$11*PARAMETROS!$B$17+PARAMETROS!$B$6*PARAMETROS!$B$12*PARAMETROS!$B$18+PARAMETROS!$B$7*PARAMETROS!$B$13*PARAMETROS!$B$19)-PARAMETROS!$B$39)/PARAMETROS!$B$39</f>
        <v>0.066923817427386</v>
      </c>
    </row>
    <row r="15" customFormat="false" ht="15" hidden="false" customHeight="false" outlineLevel="0" collapsed="false">
      <c r="A15" s="7" t="s">
        <v>113</v>
      </c>
      <c r="B15" s="8" t="n">
        <v>49</v>
      </c>
      <c r="C15" s="8" t="n">
        <v>16</v>
      </c>
      <c r="D15" s="27" t="n">
        <f aca="false">(($B$15*PARAMETROS!$B$10*PARAMETROS!$B$16+$C$15*PARAMETROS!$B$11*PARAMETROS!$B$17+PARAMETROS!$B$6*PARAMETROS!$B$12*PARAMETROS!$B$18+PARAMETROS!$B$7*PARAMETROS!$B$13*PARAMETROS!$B$19)-PARAMETROS!$B$39)/PARAMETROS!$B$39</f>
        <v>0.855774439834025</v>
      </c>
    </row>
    <row r="17" customFormat="false" ht="15" hidden="false" customHeight="false" outlineLevel="0" collapsed="false">
      <c r="A17" s="9" t="s">
        <v>114</v>
      </c>
    </row>
    <row r="18" customFormat="false" ht="15" hidden="false" customHeight="false" outlineLevel="0" collapsed="false">
      <c r="A18" s="9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7.35" hidden="false" customHeight="false" outlineLevel="0" collapsed="false">
      <c r="A1" s="1" t="s">
        <v>116</v>
      </c>
    </row>
    <row r="2" customFormat="false" ht="15" hidden="false" customHeight="false" outlineLevel="0" collapsed="false">
      <c r="A2" s="3"/>
    </row>
    <row r="3" customFormat="false" ht="15" hidden="false" customHeight="false" outlineLevel="0" collapsed="false">
      <c r="A3" s="4" t="s">
        <v>117</v>
      </c>
    </row>
    <row r="4" customFormat="false" ht="15" hidden="false" customHeight="false" outlineLevel="0" collapsed="false">
      <c r="A4" s="3" t="s">
        <v>118</v>
      </c>
    </row>
    <row r="5" customFormat="false" ht="15" hidden="false" customHeight="false" outlineLevel="0" collapsed="false">
      <c r="A5" s="3" t="s">
        <v>119</v>
      </c>
    </row>
    <row r="6" customFormat="false" ht="15" hidden="false" customHeight="false" outlineLevel="0" collapsed="false">
      <c r="A6" s="3" t="s">
        <v>120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4" t="s">
        <v>121</v>
      </c>
    </row>
    <row r="9" customFormat="false" ht="15" hidden="false" customHeight="false" outlineLevel="0" collapsed="false">
      <c r="A9" s="3" t="s">
        <v>122</v>
      </c>
    </row>
    <row r="10" customFormat="false" ht="15" hidden="false" customHeight="false" outlineLevel="0" collapsed="false">
      <c r="A10" s="3" t="s">
        <v>123</v>
      </c>
    </row>
    <row r="11" customFormat="false" ht="15" hidden="false" customHeight="false" outlineLevel="0" collapsed="false">
      <c r="A11" s="3" t="s">
        <v>124</v>
      </c>
    </row>
    <row r="12" customFormat="false" ht="15" hidden="false" customHeight="false" outlineLevel="0" collapsed="false">
      <c r="A12" s="3" t="s">
        <v>125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4" t="s">
        <v>126</v>
      </c>
    </row>
    <row r="15" customFormat="false" ht="15" hidden="false" customHeight="false" outlineLevel="0" collapsed="false">
      <c r="A15" s="3" t="s">
        <v>127</v>
      </c>
    </row>
    <row r="16" customFormat="false" ht="15" hidden="false" customHeight="false" outlineLevel="0" collapsed="false">
      <c r="A16" s="3" t="s">
        <v>128</v>
      </c>
    </row>
    <row r="17" customFormat="false" ht="15" hidden="false" customHeight="false" outlineLevel="0" collapsed="false">
      <c r="A17" s="3" t="s">
        <v>129</v>
      </c>
    </row>
    <row r="18" customFormat="false" ht="15" hidden="false" customHeight="false" outlineLevel="0" collapsed="false">
      <c r="A18" s="3" t="s">
        <v>130</v>
      </c>
    </row>
    <row r="19" customFormat="false" ht="15" hidden="false" customHeight="false" outlineLevel="0" collapsed="false">
      <c r="A19" s="3" t="s">
        <v>131</v>
      </c>
    </row>
    <row r="20" customFormat="false" ht="15" hidden="false" customHeight="false" outlineLevel="0" collapsed="false">
      <c r="A20" s="3"/>
    </row>
    <row r="21" customFormat="false" ht="15" hidden="false" customHeight="false" outlineLevel="0" collapsed="false">
      <c r="A21" s="4" t="s">
        <v>132</v>
      </c>
    </row>
    <row r="22" customFormat="false" ht="15" hidden="false" customHeight="false" outlineLevel="0" collapsed="false">
      <c r="A22" s="3" t="s">
        <v>133</v>
      </c>
    </row>
    <row r="23" customFormat="false" ht="15" hidden="false" customHeight="false" outlineLevel="0" collapsed="false">
      <c r="A23" s="3" t="s">
        <v>134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3" t="s">
        <v>135</v>
      </c>
    </row>
    <row r="26" customFormat="false" ht="15" hidden="false" customHeight="false" outlineLevel="0" collapsed="false">
      <c r="A26" s="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137</v>
      </c>
    </row>
    <row r="3" customFormat="false" ht="15" hidden="false" customHeight="false" outlineLevel="0" collapsed="false">
      <c r="A3" s="5" t="s">
        <v>138</v>
      </c>
      <c r="B3" s="6"/>
      <c r="C3" s="6"/>
      <c r="D3" s="6"/>
      <c r="E3" s="6"/>
      <c r="F3" s="6"/>
      <c r="G3" s="6"/>
      <c r="H3" s="6"/>
    </row>
    <row r="4" customFormat="false" ht="15" hidden="false" customHeight="false" outlineLevel="0" collapsed="false">
      <c r="A4" s="7" t="s">
        <v>139</v>
      </c>
      <c r="B4" s="8" t="n">
        <v>55</v>
      </c>
      <c r="C4" s="9" t="s">
        <v>140</v>
      </c>
    </row>
    <row r="5" customFormat="false" ht="15" hidden="false" customHeight="false" outlineLevel="0" collapsed="false">
      <c r="A5" s="7" t="s">
        <v>141</v>
      </c>
      <c r="B5" s="8" t="n">
        <v>50</v>
      </c>
    </row>
    <row r="6" customFormat="false" ht="15" hidden="false" customHeight="false" outlineLevel="0" collapsed="false">
      <c r="A6" s="7" t="s">
        <v>142</v>
      </c>
      <c r="B6" s="8" t="n">
        <v>31</v>
      </c>
    </row>
    <row r="7" customFormat="false" ht="15" hidden="false" customHeight="false" outlineLevel="0" collapsed="false">
      <c r="A7" s="7" t="s">
        <v>143</v>
      </c>
      <c r="B7" s="8" t="n">
        <v>429</v>
      </c>
    </row>
    <row r="8" customFormat="false" ht="15" hidden="false" customHeight="false" outlineLevel="0" collapsed="false">
      <c r="A8" s="7" t="s">
        <v>144</v>
      </c>
      <c r="B8" s="11" t="n">
        <v>16380</v>
      </c>
      <c r="C8" s="9" t="s">
        <v>145</v>
      </c>
    </row>
    <row r="9" customFormat="false" ht="15" hidden="false" customHeight="false" outlineLevel="0" collapsed="false">
      <c r="A9" s="7" t="s">
        <v>146</v>
      </c>
      <c r="B9" s="11" t="n">
        <v>2000</v>
      </c>
      <c r="C9" s="9" t="s">
        <v>147</v>
      </c>
    </row>
    <row r="10" customFormat="false" ht="15" hidden="false" customHeight="false" outlineLevel="0" collapsed="false">
      <c r="A10" s="7" t="s">
        <v>148</v>
      </c>
      <c r="B10" s="10" t="n">
        <v>0.3</v>
      </c>
      <c r="C10" s="9" t="s">
        <v>149</v>
      </c>
    </row>
    <row r="12" customFormat="false" ht="15" hidden="false" customHeight="false" outlineLevel="0" collapsed="false">
      <c r="A12" s="5" t="s">
        <v>150</v>
      </c>
      <c r="B12" s="6"/>
      <c r="C12" s="6"/>
      <c r="D12" s="6"/>
      <c r="E12" s="6"/>
      <c r="F12" s="6"/>
      <c r="G12" s="6"/>
      <c r="H12" s="6"/>
    </row>
    <row r="13" customFormat="false" ht="15" hidden="false" customHeight="false" outlineLevel="0" collapsed="false">
      <c r="A13" s="7" t="s">
        <v>151</v>
      </c>
      <c r="B13" s="13" t="n">
        <f aca="false">B10*B8-B9</f>
        <v>2914</v>
      </c>
    </row>
    <row r="14" customFormat="false" ht="15" hidden="false" customHeight="false" outlineLevel="0" collapsed="false">
      <c r="A14" s="7" t="s">
        <v>152</v>
      </c>
      <c r="B14" s="13" t="n">
        <f aca="false">B4*B13</f>
        <v>160270</v>
      </c>
    </row>
    <row r="15" customFormat="false" ht="15" hidden="false" customHeight="false" outlineLevel="0" collapsed="false">
      <c r="A15" s="7" t="s">
        <v>153</v>
      </c>
      <c r="B15" s="13" t="n">
        <f aca="false">-B5*B9</f>
        <v>-100000</v>
      </c>
    </row>
    <row r="16" customFormat="false" ht="15" hidden="false" customHeight="false" outlineLevel="0" collapsed="false">
      <c r="A16" s="7" t="s">
        <v>154</v>
      </c>
      <c r="B16" s="13" t="n">
        <f aca="false">-B6*B8</f>
        <v>-507780</v>
      </c>
    </row>
    <row r="18" customFormat="false" ht="15" hidden="false" customHeight="false" outlineLevel="0" collapsed="false">
      <c r="A18" s="5" t="s">
        <v>155</v>
      </c>
      <c r="B18" s="6"/>
      <c r="C18" s="6"/>
      <c r="D18" s="6"/>
      <c r="E18" s="6"/>
      <c r="F18" s="6"/>
      <c r="G18" s="6"/>
      <c r="H18" s="6"/>
    </row>
    <row r="19" customFormat="false" ht="15" hidden="false" customHeight="false" outlineLevel="0" collapsed="false">
      <c r="A19" s="7" t="s">
        <v>156</v>
      </c>
      <c r="B19" s="13" t="n">
        <f aca="false">(B4+B5)*B9</f>
        <v>210000</v>
      </c>
    </row>
    <row r="20" customFormat="false" ht="15" hidden="false" customHeight="false" outlineLevel="0" collapsed="false">
      <c r="A20" s="7" t="s">
        <v>157</v>
      </c>
      <c r="B20" s="13" t="n">
        <f aca="false">B14+B15</f>
        <v>60270</v>
      </c>
    </row>
    <row r="21" customFormat="false" ht="15" hidden="false" customHeight="false" outlineLevel="0" collapsed="false">
      <c r="A21" s="14" t="s">
        <v>158</v>
      </c>
      <c r="B21" s="25" t="n">
        <f aca="false">B20/B19</f>
        <v>0.287</v>
      </c>
    </row>
    <row r="23" customFormat="false" ht="15" hidden="false" customHeight="false" outlineLevel="0" collapsed="false">
      <c r="A23" s="5" t="s">
        <v>159</v>
      </c>
      <c r="B23" s="6"/>
      <c r="C23" s="6"/>
      <c r="D23" s="6"/>
      <c r="E23" s="6"/>
      <c r="F23" s="6"/>
      <c r="G23" s="6"/>
      <c r="H23" s="6"/>
    </row>
    <row r="24" customFormat="false" ht="15" hidden="false" customHeight="false" outlineLevel="0" collapsed="false">
      <c r="B24" s="26" t="s">
        <v>160</v>
      </c>
      <c r="C24" s="26" t="s">
        <v>161</v>
      </c>
    </row>
    <row r="25" customFormat="false" ht="15" hidden="false" customHeight="false" outlineLevel="0" collapsed="false">
      <c r="A25" s="12" t="s">
        <v>162</v>
      </c>
      <c r="B25" s="28" t="n">
        <f aca="false">B7</f>
        <v>429</v>
      </c>
      <c r="C25" s="28" t="n">
        <f aca="false">B5</f>
        <v>50</v>
      </c>
    </row>
    <row r="26" customFormat="false" ht="15" hidden="false" customHeight="false" outlineLevel="0" collapsed="false">
      <c r="A26" s="12" t="s">
        <v>163</v>
      </c>
      <c r="B26" s="28" t="n">
        <f aca="false">B6</f>
        <v>31</v>
      </c>
      <c r="C26" s="28" t="n">
        <f aca="false">B4</f>
        <v>55</v>
      </c>
    </row>
    <row r="28" customFormat="false" ht="15" hidden="false" customHeight="false" outlineLevel="0" collapsed="false">
      <c r="A28" s="9" t="s">
        <v>164</v>
      </c>
    </row>
    <row r="29" customFormat="false" ht="15" hidden="false" customHeight="false" outlineLevel="0" collapsed="false">
      <c r="A29" s="9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2"/>
  </cols>
  <sheetData>
    <row r="1" customFormat="false" ht="17.35" hidden="false" customHeight="false" outlineLevel="0" collapsed="false">
      <c r="A1" s="1" t="s">
        <v>166</v>
      </c>
    </row>
    <row r="3" customFormat="false" ht="15" hidden="false" customHeight="false" outlineLevel="0" collapsed="false">
      <c r="A3" s="9" t="s">
        <v>167</v>
      </c>
    </row>
    <row r="5" customFormat="false" ht="15" hidden="false" customHeight="false" outlineLevel="0" collapsed="false">
      <c r="A5" s="26" t="s">
        <v>168</v>
      </c>
      <c r="B5" s="29" t="n">
        <v>0.04</v>
      </c>
      <c r="C5" s="29" t="n">
        <v>0.06</v>
      </c>
      <c r="D5" s="29" t="n">
        <v>0.08</v>
      </c>
      <c r="E5" s="29" t="n">
        <v>0.12</v>
      </c>
      <c r="F5" s="29" t="n">
        <v>0.15</v>
      </c>
    </row>
    <row r="6" customFormat="false" ht="15" hidden="false" customHeight="false" outlineLevel="0" collapsed="false">
      <c r="A6" s="29" t="n">
        <v>0.02</v>
      </c>
      <c r="B6" s="30" t="n">
        <f aca="false">(((PARAMETROS!$B$4*PARAMETROS!$B$10*PARAMETROS!$B$16+PARAMETROS!$B$5*PARAMETROS!$B$11*PARAMETROS!$B$17)+PARAMETROS!$B$6*B$5*PARAMETROS!$B$18+PARAMETROS!$B$7*$A6*PARAMETROS!$B$19)-PARAMETROS!$B$39)/PARAMETROS!$B$39</f>
        <v>-0.104608630705394</v>
      </c>
      <c r="C6" s="30" t="n">
        <f aca="false">(((PARAMETROS!$B$4*PARAMETROS!$B$10*PARAMETROS!$B$16+PARAMETROS!$B$5*PARAMETROS!$B$11*PARAMETROS!$B$17)+PARAMETROS!$B$6*C$5*PARAMETROS!$B$18+PARAMETROS!$B$7*$A6*PARAMETROS!$B$19)-PARAMETROS!$B$39)/PARAMETROS!$B$39</f>
        <v>-0.0182907883817428</v>
      </c>
      <c r="D6" s="30" t="n">
        <f aca="false">(((PARAMETROS!$B$4*PARAMETROS!$B$10*PARAMETROS!$B$16+PARAMETROS!$B$5*PARAMETROS!$B$11*PARAMETROS!$B$17)+PARAMETROS!$B$6*D$5*PARAMETROS!$B$18+PARAMETROS!$B$7*$A6*PARAMETROS!$B$19)-PARAMETROS!$B$39)/PARAMETROS!$B$39</f>
        <v>0.0680270539419087</v>
      </c>
      <c r="E6" s="30" t="n">
        <f aca="false">(((PARAMETROS!$B$4*PARAMETROS!$B$10*PARAMETROS!$B$16+PARAMETROS!$B$5*PARAMETROS!$B$11*PARAMETROS!$B$17)+PARAMETROS!$B$6*E$5*PARAMETROS!$B$18+PARAMETROS!$B$7*$A6*PARAMETROS!$B$19)-PARAMETROS!$B$39)/PARAMETROS!$B$39</f>
        <v>0.240662738589212</v>
      </c>
      <c r="F6" s="30" t="n">
        <f aca="false">(((PARAMETROS!$B$4*PARAMETROS!$B$10*PARAMETROS!$B$16+PARAMETROS!$B$5*PARAMETROS!$B$11*PARAMETROS!$B$17)+PARAMETROS!$B$6*F$5*PARAMETROS!$B$18+PARAMETROS!$B$7*$A6*PARAMETROS!$B$19)-PARAMETROS!$B$39)/PARAMETROS!$B$39</f>
        <v>0.370139502074689</v>
      </c>
    </row>
    <row r="7" customFormat="false" ht="15" hidden="false" customHeight="false" outlineLevel="0" collapsed="false">
      <c r="A7" s="29" t="n">
        <v>0.04</v>
      </c>
      <c r="B7" s="30" t="n">
        <f aca="false">(((PARAMETROS!$B$4*PARAMETROS!$B$10*PARAMETROS!$B$16+PARAMETROS!$B$5*PARAMETROS!$B$11*PARAMETROS!$B$17)+PARAMETROS!$B$6*B$5*PARAMETROS!$B$18+PARAMETROS!$B$7*$A7*PARAMETROS!$B$19)-PARAMETROS!$B$39)/PARAMETROS!$B$39</f>
        <v>0.0491304564315353</v>
      </c>
      <c r="C7" s="30" t="n">
        <f aca="false">(((PARAMETROS!$B$4*PARAMETROS!$B$10*PARAMETROS!$B$16+PARAMETROS!$B$5*PARAMETROS!$B$11*PARAMETROS!$B$17)+PARAMETROS!$B$6*C$5*PARAMETROS!$B$18+PARAMETROS!$B$7*$A7*PARAMETROS!$B$19)-PARAMETROS!$B$39)/PARAMETROS!$B$39</f>
        <v>0.135448298755187</v>
      </c>
      <c r="D7" s="30" t="n">
        <f aca="false">(((PARAMETROS!$B$4*PARAMETROS!$B$10*PARAMETROS!$B$16+PARAMETROS!$B$5*PARAMETROS!$B$11*PARAMETROS!$B$17)+PARAMETROS!$B$6*D$5*PARAMETROS!$B$18+PARAMETROS!$B$7*$A7*PARAMETROS!$B$19)-PARAMETROS!$B$39)/PARAMETROS!$B$39</f>
        <v>0.221766141078838</v>
      </c>
      <c r="E7" s="30" t="n">
        <f aca="false">(((PARAMETROS!$B$4*PARAMETROS!$B$10*PARAMETROS!$B$16+PARAMETROS!$B$5*PARAMETROS!$B$11*PARAMETROS!$B$17)+PARAMETROS!$B$6*E$5*PARAMETROS!$B$18+PARAMETROS!$B$7*$A7*PARAMETROS!$B$19)-PARAMETROS!$B$39)/PARAMETROS!$B$39</f>
        <v>0.394401825726141</v>
      </c>
      <c r="F7" s="30" t="n">
        <f aca="false">(((PARAMETROS!$B$4*PARAMETROS!$B$10*PARAMETROS!$B$16+PARAMETROS!$B$5*PARAMETROS!$B$11*PARAMETROS!$B$17)+PARAMETROS!$B$6*F$5*PARAMETROS!$B$18+PARAMETROS!$B$7*$A7*PARAMETROS!$B$19)-PARAMETROS!$B$39)/PARAMETROS!$B$39</f>
        <v>0.523878589211618</v>
      </c>
    </row>
    <row r="8" customFormat="false" ht="15" hidden="false" customHeight="false" outlineLevel="0" collapsed="false">
      <c r="A8" s="29" t="n">
        <v>0.06</v>
      </c>
      <c r="B8" s="30" t="n">
        <f aca="false">(((PARAMETROS!$B$4*PARAMETROS!$B$10*PARAMETROS!$B$16+PARAMETROS!$B$5*PARAMETROS!$B$11*PARAMETROS!$B$17)+PARAMETROS!$B$6*B$5*PARAMETROS!$B$18+PARAMETROS!$B$7*$A8*PARAMETROS!$B$19)-PARAMETROS!$B$39)/PARAMETROS!$B$39</f>
        <v>0.202869543568465</v>
      </c>
      <c r="C8" s="30" t="n">
        <f aca="false">(((PARAMETROS!$B$4*PARAMETROS!$B$10*PARAMETROS!$B$16+PARAMETROS!$B$5*PARAMETROS!$B$11*PARAMETROS!$B$17)+PARAMETROS!$B$6*C$5*PARAMETROS!$B$18+PARAMETROS!$B$7*$A8*PARAMETROS!$B$19)-PARAMETROS!$B$39)/PARAMETROS!$B$39</f>
        <v>0.289187385892116</v>
      </c>
      <c r="D8" s="30" t="n">
        <f aca="false">(((PARAMETROS!$B$4*PARAMETROS!$B$10*PARAMETROS!$B$16+PARAMETROS!$B$5*PARAMETROS!$B$11*PARAMETROS!$B$17)+PARAMETROS!$B$6*D$5*PARAMETROS!$B$18+PARAMETROS!$B$7*$A8*PARAMETROS!$B$19)-PARAMETROS!$B$39)/PARAMETROS!$B$39</f>
        <v>0.375505228215768</v>
      </c>
      <c r="E8" s="30" t="n">
        <f aca="false">(((PARAMETROS!$B$4*PARAMETROS!$B$10*PARAMETROS!$B$16+PARAMETROS!$B$5*PARAMETROS!$B$11*PARAMETROS!$B$17)+PARAMETROS!$B$6*E$5*PARAMETROS!$B$18+PARAMETROS!$B$7*$A8*PARAMETROS!$B$19)-PARAMETROS!$B$39)/PARAMETROS!$B$39</f>
        <v>0.54814091286307</v>
      </c>
      <c r="F8" s="30" t="n">
        <f aca="false">(((PARAMETROS!$B$4*PARAMETROS!$B$10*PARAMETROS!$B$16+PARAMETROS!$B$5*PARAMETROS!$B$11*PARAMETROS!$B$17)+PARAMETROS!$B$6*F$5*PARAMETROS!$B$18+PARAMETROS!$B$7*$A8*PARAMETROS!$B$19)-PARAMETROS!$B$39)/PARAMETROS!$B$39</f>
        <v>0.677617676348548</v>
      </c>
    </row>
    <row r="9" customFormat="false" ht="15" hidden="false" customHeight="false" outlineLevel="0" collapsed="false">
      <c r="A9" s="29" t="n">
        <v>0.08</v>
      </c>
      <c r="B9" s="30" t="n">
        <f aca="false">(((PARAMETROS!$B$4*PARAMETROS!$B$10*PARAMETROS!$B$16+PARAMETROS!$B$5*PARAMETROS!$B$11*PARAMETROS!$B$17)+PARAMETROS!$B$6*B$5*PARAMETROS!$B$18+PARAMETROS!$B$7*$A9*PARAMETROS!$B$19)-PARAMETROS!$B$39)/PARAMETROS!$B$39</f>
        <v>0.356608630705394</v>
      </c>
      <c r="C9" s="30" t="n">
        <f aca="false">(((PARAMETROS!$B$4*PARAMETROS!$B$10*PARAMETROS!$B$16+PARAMETROS!$B$5*PARAMETROS!$B$11*PARAMETROS!$B$17)+PARAMETROS!$B$6*C$5*PARAMETROS!$B$18+PARAMETROS!$B$7*$A9*PARAMETROS!$B$19)-PARAMETROS!$B$39)/PARAMETROS!$B$39</f>
        <v>0.442926473029046</v>
      </c>
      <c r="D9" s="30" t="n">
        <f aca="false">(((PARAMETROS!$B$4*PARAMETROS!$B$10*PARAMETROS!$B$16+PARAMETROS!$B$5*PARAMETROS!$B$11*PARAMETROS!$B$17)+PARAMETROS!$B$6*D$5*PARAMETROS!$B$18+PARAMETROS!$B$7*$A9*PARAMETROS!$B$19)-PARAMETROS!$B$39)/PARAMETROS!$B$39</f>
        <v>0.529244315352697</v>
      </c>
      <c r="E9" s="30" t="n">
        <f aca="false">(((PARAMETROS!$B$4*PARAMETROS!$B$10*PARAMETROS!$B$16+PARAMETROS!$B$5*PARAMETROS!$B$11*PARAMETROS!$B$17)+PARAMETROS!$B$6*E$5*PARAMETROS!$B$18+PARAMETROS!$B$7*$A9*PARAMETROS!$B$19)-PARAMETROS!$B$39)/PARAMETROS!$B$39</f>
        <v>0.70188</v>
      </c>
      <c r="F9" s="30" t="n">
        <f aca="false">(((PARAMETROS!$B$4*PARAMETROS!$B$10*PARAMETROS!$B$16+PARAMETROS!$B$5*PARAMETROS!$B$11*PARAMETROS!$B$17)+PARAMETROS!$B$6*F$5*PARAMETROS!$B$18+PARAMETROS!$B$7*$A9*PARAMETROS!$B$19)-PARAMETROS!$B$39)/PARAMETROS!$B$39</f>
        <v>0.831356763485477</v>
      </c>
    </row>
    <row r="12" customFormat="false" ht="15" hidden="false" customHeight="false" outlineLevel="0" collapsed="false">
      <c r="A12" s="9" t="s">
        <v>169</v>
      </c>
    </row>
    <row r="13" customFormat="false" ht="15" hidden="false" customHeight="false" outlineLevel="0" collapsed="false">
      <c r="A13" s="9" t="s">
        <v>170</v>
      </c>
    </row>
  </sheetData>
  <conditionalFormatting sqref="B6:F9">
    <cfRule type="colorScale" priority="2">
      <colorScale>
        <cfvo type="num" val="0.1"/>
        <cfvo type="num" val="0.2"/>
        <cfvo type="num" val="0.4"/>
        <color rgb="FFF4A6A0"/>
        <color rgb="FFFBE7A1"/>
        <color rgb="FFA9D5B5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2026-06-09T14:12:49Z</dcterms:created>
  <dc:creator>openpyxl</dc:creator>
  <dc:description/>
  <dc:language>en-US</dc:language>
  <cp:lastModifiedBy/>
  <dcterms:modified xsi:type="dcterms:W3CDTF">2026-06-09T14:12:49Z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